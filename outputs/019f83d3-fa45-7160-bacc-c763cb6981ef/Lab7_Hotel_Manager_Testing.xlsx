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c1c32a1a2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1e2d2e461b4342"/>
    <x:sheet xmlns:r="http://schemas.openxmlformats.org/officeDocument/2006/relationships" name="Scope &amp; Risks" sheetId="2" r:id="Rd28f910247ee4c6e"/>
    <x:sheet xmlns:r="http://schemas.openxmlformats.org/officeDocument/2006/relationships" name="Test Plan" sheetId="3" r:id="Rc651895212714de7"/>
    <x:sheet xmlns:r="http://schemas.openxmlformats.org/officeDocument/2006/relationships" name="Test Cases" sheetId="4" r:id="R4c631e725a3b4d79"/>
    <x:sheet xmlns:r="http://schemas.openxmlformats.org/officeDocument/2006/relationships" name="Bug Report" sheetId="5" r:id="R5480eadb14014347"/>
    <x:sheet xmlns:r="http://schemas.openxmlformats.org/officeDocument/2006/relationships" name="Execution Log" sheetId="6" r:id="Rf2b6295d48e74b20"/>
    <x:sheet xmlns:r="http://schemas.openxmlformats.org/officeDocument/2006/relationships" name="Defect Lifecycle" sheetId="7" r:id="R00399ec34ec9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%"/>
    <x:numFmt numFmtId="202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2"/>
      <x:color rgb="FF0B2545"/>
      <x:name val="Carlito"/>
    </x:font>
    <x:font>
      <x:b/>
      <x:sz val="11"/>
      <x:color rgb="FF0B2545"/>
      <x:name val="Carlito"/>
    </x:font>
    <x:font>
      <x:sz val="11"/>
      <x:color rgb="FF172B4D"/>
      <x:name val="Carlito"/>
    </x:font>
    <x:font>
      <x:b/>
      <x:sz val="10"/>
      <x:color rgb="FFFFFFFF"/>
      <x:name val="Carlito"/>
    </x:font>
    <x:font>
      <x:sz val="10"/>
      <x:color rgb="FF172B4D"/>
      <x:name val="Carlito"/>
    </x:font>
    <x:font>
      <x:b/>
      <x:sz val="10"/>
      <x:color rgb="FF0B2545"/>
      <x:name val="Carlito"/>
    </x:font>
    <x:font>
      <x:i/>
      <x:sz val="11"/>
      <x:color rgb="FF667085"/>
      <x:name val="Carlito"/>
    </x:font>
    <x:font>
      <x:b/>
      <x:sz val="10"/>
      <x:color rgb="FF2E74B5"/>
      <x:name val="Carlito"/>
    </x:font>
    <x:font>
      <x:b/>
      <x:sz val="10"/>
      <x:color rgb="FFB91C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4F8FC"/>
      </x:patternFill>
    </x:fill>
    <x:fill>
      <x:patternFill patternType="solid">
        <x:fgColor rgb="FFE8F1FB"/>
      </x:patternFill>
    </x:fill>
    <x:fill>
      <x:patternFill patternType="solid">
        <x:fgColor rgb="FFF1F5F9"/>
      </x:patternFill>
    </x:fill>
    <x:fill>
      <x:patternFill patternType="solid">
        <x:fgColor rgb="FF2E74B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201" fontId="8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201" fontId="8" fillId="0" borderId="1" xfId="0" applyNumberFormat="1" applyFont="1" applyFill="1" applyBorder="1" applyAlignment="1">
      <x:alignment horizontal="center" vertical="center" wrapText="1"/>
    </x:xf>
    <x:xf numFmtId="202" fontId="7" fillId="0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a875de92c4257" /><Relationship Type="http://schemas.openxmlformats.org/officeDocument/2006/relationships/theme" Target="/xl/theme/theme1.xml" Id="R2cd6042407ab4386" /><Relationship Type="http://schemas.openxmlformats.org/officeDocument/2006/relationships/sharedStrings" Target="/xl/sharedStrings.xml" Id="Rcf55906ab6c242db" /><Relationship Type="http://schemas.openxmlformats.org/officeDocument/2006/relationships/worksheet" Target="/xl/worksheets/sheet1.xml" Id="R791e2d2e461b4342" /><Relationship Type="http://schemas.openxmlformats.org/officeDocument/2006/relationships/worksheet" Target="/xl/worksheets/sheet2.xml" Id="Rd28f910247ee4c6e" /><Relationship Type="http://schemas.openxmlformats.org/officeDocument/2006/relationships/worksheet" Target="/xl/worksheets/sheet3.xml" Id="Rc651895212714de7" /><Relationship Type="http://schemas.openxmlformats.org/officeDocument/2006/relationships/worksheet" Target="/xl/worksheets/sheet4.xml" Id="R4c631e725a3b4d79" /><Relationship Type="http://schemas.openxmlformats.org/officeDocument/2006/relationships/worksheet" Target="/xl/worksheets/sheet5.xml" Id="R5480eadb14014347" /><Relationship Type="http://schemas.openxmlformats.org/officeDocument/2006/relationships/worksheet" Target="/xl/worksheets/sheet6.xml" Id="Rf2b6295d48e74b20" /><Relationship Type="http://schemas.openxmlformats.org/officeDocument/2006/relationships/worksheet" Target="/xl/worksheets/sheet7.xml" Id="R00399ec34ec94c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93fb3b74c41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PASS / FAIL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Số lượng</c:v>
          </c:tx>
          <c:cat>
            <c:strRef>
              <c:f>'Dashboard'!$H$6:$H$7</c:f>
              <c:strCache>
                <c:ptCount val="0"/>
              </c:strCache>
            </c:strRef>
          </c:cat>
          <c:val>
            <c:numRef>
              <c:f>'Dashboard'!$I$6:$I$7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93fb3b74c41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opeTable" displayName="ScopeTable" ref="A6:F11" headerRowCount="1" totalsRowCount="0" totalsRowShown="0">
  <x:tableColumns count="6">
    <x:tableColumn id="1" name="STT"/>
    <x:tableColumn id="2" name="Nhóm chức năng"/>
    <x:tableColumn id="3" name="Nội dung kiểm thử"/>
    <x:tableColumn id="4" name="Vai trò"/>
    <x:tableColumn id="5" name="Mức ưu tiên"/>
    <x:tableColumn id="6" name="Phạm v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sTable" displayName="RisksTable" ref="A20:F26" headerRowCount="1" totalsRowCount="0" totalsRowShown="0">
  <x:tableColumns count="6">
    <x:tableColumn id="1" name="Risk ID"/>
    <x:tableColumn id="2" name="Rủi ro"/>
    <x:tableColumn id="3" name="Ảnh hưởng"/>
    <x:tableColumn id="4" name="Khả năng"/>
    <x:tableColumn id="5" name="Mức rủi ro"/>
    <x:tableColumn id="6" name="Biện pháp giảm thiể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CasesTable" displayName="TestCasesTable" ref="A5:J13" headerRowCount="1" totalsRowCount="0" totalsRowShown="0">
  <x:tableColumns count="10">
    <x:tableColumn id="1" name="Test Case ID"/>
    <x:tableColumn id="2" name="Unit to Test"/>
    <x:tableColumn id="3" name="Preconditions"/>
    <x:tableColumn id="4" name="Test Data"/>
    <x:tableColumn id="5" name="Steps to Execute"/>
    <x:tableColumn id="6" name="Expected Result"/>
    <x:tableColumn id="7" name="Actual Result"/>
    <x:tableColumn id="8" name="Type"/>
    <x:tableColumn id="9" name="Priority"/>
    <x:tableColumn id="10" name="Res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gsTable" displayName="BugsTable" ref="A5:K8" headerRowCount="1" totalsRowCount="0" totalsRowShown="0">
  <x:tableColumns count="11">
    <x:tableColumn id="1" name="Bug ID"/>
    <x:tableColumn id="2" name="Summary"/>
    <x:tableColumn id="3" name="Related Test"/>
    <x:tableColumn id="4" name="Preconditions"/>
    <x:tableColumn id="5" name="Steps to Reproduce"/>
    <x:tableColumn id="6" name="Actual Result"/>
    <x:tableColumn id="7" name="Expected Result"/>
    <x:tableColumn id="8" name="Severity"/>
    <x:tableColumn id="9" name="Priority"/>
    <x:tableColumn id="10" name="Status"/>
    <x:tableColumn id="11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ecutionTable" displayName="ExecutionTable" ref="A5:G10" headerRowCount="1" totalsRowCount="0" totalsRowShown="0">
  <x:tableColumns count="7">
    <x:tableColumn id="1" name="Run ID"/>
    <x:tableColumn id="2" name="Ngày chạy"/>
    <x:tableColumn id="3" name="Loại kiểm tra"/>
    <x:tableColumn id="4" name="Phạm vi"/>
    <x:tableColumn id="5" name="Kết quả"/>
    <x:tableColumn id="6" name="Bằng chứng"/>
    <x:tableColumn id="7" name="Ghi ch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fecycleTable" displayName="LifecycleTable" ref="A5:F13" headerRowCount="1" totalsRowCount="0" totalsRowShown="0">
  <x:tableColumns count="6">
    <x:tableColumn id="1" name="Bước"/>
    <x:tableColumn id="2" name="Status"/>
    <x:tableColumn id="3" name="Owner"/>
    <x:tableColumn id="4" name="Điều kiện vào"/>
    <x:tableColumn id="5" name="Đầu ra bắt buộc"/>
    <x:tableColumn id="6" name="Trạng thái tiếp the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0a67fc5fc446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5f2f119b44124" /><Relationship Type="http://schemas.openxmlformats.org/officeDocument/2006/relationships/table" Target="/xl/tables/table2.xml" Id="R794d306e56574e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2a74d89ee7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a8377ea0734b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ef1578bb1240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8ca26e2400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34" hidden="0" customWidth="1"/>
    <x:col min="4" max="4" width="4" hidden="0" customWidth="1"/>
    <x:col min="5" max="5" width="3" hidden="0" customWidth="1"/>
    <x:col min="6" max="6" width="3" hidden="0" customWidth="1"/>
    <x:col min="7" max="7" width="3" hidden="0" customWidth="1"/>
    <x:col min="8" max="8" width="18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LAB 7 — HOTEL MANAGER | TESTING DASHBOARD</x:v>
      </x:c>
      <x:c r="B1" s="4" t="str">
        <x:v>LAB 7 — HOTEL MANAGER | TESTING DASHBOARD</x:v>
      </x:c>
      <x:c r="C1" s="4" t="str">
        <x:v>LAB 7 — HOTEL MANAGER | TESTING DASHBOARD</x:v>
      </x:c>
      <x:c r="D1" s="4" t="str">
        <x:v>LAB 7 — HOTEL MANAGER | TESTING DASHBOARD</x:v>
      </x:c>
      <x:c r="E1" s="4" t="str">
        <x:v>LAB 7 — HOTEL MANAGER | TESTING DASHBOARD</x:v>
      </x:c>
      <x:c r="F1" s="4" t="str">
        <x:v>LAB 7 — HOTEL MANAGER | TESTING DASHBOARD</x:v>
      </x:c>
      <x:c r="G1" s="4" t="str">
        <x:v>LAB 7 — HOTEL MANAGER | TESTING DASHBOARD</x:v>
      </x:c>
      <x:c r="H1" s="4" t="str">
        <x:v>LAB 7 — HOTEL MANAGER | TESTING DASHBOARD</x:v>
      </x:c>
      <x:c r="I1" s="4" t="str">
        <x:v>LAB 7 — HOTEL MANAGER | TESTING DASHBOARD</x:v>
      </x:c>
      <x:c r="J1" s="4" t="str">
        <x:v>LAB 7 — HOTEL MANAGER | TESTING DASHBOARD</x:v>
      </x:c>
      <x:c r="K1" s="4" t="str">
        <x:v>LAB 7 — HOTEL MANAGER | TESTING DASHBOARD</x:v>
      </x:c>
      <x:c r="L1" s="4" t="str">
        <x:v>LAB 7 — HOTEL MANAGER | TESTING DASHBOARD</x:v>
      </x:c>
      <x:c r="M1" s="4" t="str">
        <x:v>LAB 7 — HOTEL MANAGER | TESTING DASHBOARD</x:v>
      </x:c>
      <x:c r="N1" s="4" t="str">
        <x:v>LAB 7 — HOTEL MANAGER | TESTING DASHBOARD</x:v>
      </x:c>
    </x:row>
    <x:row r="2" ht="30" customHeight="1">
      <x:c r="A2" s="4" t="str">
        <x:v>LAB 7 — HOTEL MANAGER | TESTING DASHBOARD</x:v>
      </x:c>
      <x:c r="B2" s="4" t="str">
        <x:v>LAB 7 — HOTEL MANAGER | TESTING DASHBOARD</x:v>
      </x:c>
      <x:c r="C2" s="4" t="str">
        <x:v>LAB 7 — HOTEL MANAGER | TESTING DASHBOARD</x:v>
      </x:c>
      <x:c r="D2" s="4" t="str">
        <x:v>LAB 7 — HOTEL MANAGER | TESTING DASHBOARD</x:v>
      </x:c>
      <x:c r="E2" s="4" t="str">
        <x:v>LAB 7 — HOTEL MANAGER | TESTING DASHBOARD</x:v>
      </x:c>
      <x:c r="F2" s="4" t="str">
        <x:v>LAB 7 — HOTEL MANAGER | TESTING DASHBOARD</x:v>
      </x:c>
      <x:c r="G2" s="4" t="str">
        <x:v>LAB 7 — HOTEL MANAGER | TESTING DASHBOARD</x:v>
      </x:c>
      <x:c r="H2" s="4" t="str">
        <x:v>LAB 7 — HOTEL MANAGER | TESTING DASHBOARD</x:v>
      </x:c>
      <x:c r="I2" s="4" t="str">
        <x:v>LAB 7 — HOTEL MANAGER | TESTING DASHBOARD</x:v>
      </x:c>
      <x:c r="J2" s="4" t="str">
        <x:v>LAB 7 — HOTEL MANAGER | TESTING DASHBOARD</x:v>
      </x:c>
      <x:c r="K2" s="4" t="str">
        <x:v>LAB 7 — HOTEL MANAGER | TESTING DASHBOARD</x:v>
      </x:c>
      <x:c r="L2" s="4" t="str">
        <x:v>LAB 7 — HOTEL MANAGER | TESTING DASHBOARD</x:v>
      </x:c>
      <x:c r="M2" s="4" t="str">
        <x:v>LAB 7 — HOTEL MANAGER | TESTING DASHBOARD</x:v>
      </x:c>
      <x:c r="N2" s="4" t="str">
        <x:v>LAB 7 — HOTEL MANAGER | TESTING DASHBOARD</x:v>
      </x:c>
    </x:row>
    <x:row r="3">
      <x:c r="A3" s="7" t="str">
        <x:v>Workbook quản lý Test Plan, Test Case, kết quả chạy và lỗi thực tế — không thực hiện Bài 5 theo yêu cầu giảng viên.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0" customHeight="1">
      <x:c r="A5" s="11" t="str">
        <x:v>THÔNG TIN BÀI KIỂM THỬ</x:v>
      </x:c>
      <x:c r="B5" s="11" t="str">
        <x:v>THÔNG TIN BÀI KIỂM THỬ</x:v>
      </x:c>
      <x:c r="C5" s="11" t="str">
        <x:v>THÔNG TIN BÀI KIỂM THỬ</x:v>
      </x:c>
      <x:c r="D5" s="11" t="str">
        <x:v>THÔNG TIN BÀI KIỂM THỬ</x:v>
      </x:c>
      <x:c r="H5" s="24" t="str">
        <x:v>Kết quả</x:v>
      </x:c>
      <x:c r="I5" s="24" t="str">
        <x:v>Số lượng</x:v>
      </x:c>
    </x:row>
    <x:row r="6">
      <x:c r="A6" s="14" t="str">
        <x:v>Dự án</x:v>
      </x:c>
      <x:c r="B6" s="17" t="str">
        <x:v>Hotel Manager</x:v>
      </x:c>
      <x:c r="C6" s="17"/>
      <x:c r="D6" s="17"/>
      <x:c r="H6" s="28" t="str">
        <x:v>PASS</x:v>
      </x:c>
      <x:c r="I6" s="36" t="n">
        <x:f>B15</x:f>
        <x:v>5</x:v>
      </x:c>
    </x:row>
    <x:row r="7">
      <x:c r="A7" s="14" t="str">
        <x:v>Module</x:v>
      </x:c>
      <x:c r="B7" s="17" t="str">
        <x:v>Quản lý hóa đơn</x:v>
      </x:c>
      <x:c r="C7" s="17"/>
      <x:c r="D7" s="17"/>
      <x:c r="H7" s="28" t="str">
        <x:v>FAIL</x:v>
      </x:c>
      <x:c r="I7" s="36" t="n">
        <x:f>B16</x:f>
        <x:v>3</x:v>
      </x:c>
    </x:row>
    <x:row r="8">
      <x:c r="A8" s="14" t="str">
        <x:v>Ngày thực hiện</x:v>
      </x:c>
      <x:c r="B8" s="18" t="n">
        <x:v>46245</x:v>
      </x:c>
      <x:c r="C8" s="17"/>
      <x:c r="D8" s="17"/>
    </x:row>
    <x:row r="9">
      <x:c r="A9" s="14" t="str">
        <x:v>Người thực hiện</x:v>
      </x:c>
      <x:c r="B9" s="17" t="str">
        <x:v>[Điền họ tên sinh viên]</x:v>
      </x:c>
      <x:c r="C9" s="17"/>
      <x:c r="D9" s="17"/>
    </x:row>
    <x:row r="10">
      <x:c r="A10" s="14" t="str">
        <x:v>MSSV / Lớp</x:v>
      </x:c>
      <x:c r="B10" s="17" t="str">
        <x:v>[Điền MSSV / Lớp]</x:v>
      </x:c>
      <x:c r="C10" s="17"/>
      <x:c r="D10" s="17"/>
    </x:row>
    <x:row r="12" ht="22" customHeight="1">
      <x:c r="A12" s="11" t="str">
        <x:v>KẾT QUẢ TỔNG HỢP (TỰ ĐỘNG)</x:v>
      </x:c>
      <x:c r="B12" s="11" t="str">
        <x:v>KẾT QUẢ TỔNG HỢP (TỰ ĐỘNG)</x:v>
      </x:c>
      <x:c r="C12" s="11" t="str">
        <x:v>KẾT QUẢ TỔNG HỢP (TỰ ĐỘNG)</x:v>
      </x:c>
      <x:c r="D12" s="11" t="str">
        <x:v>KẾT QUẢ TỔNG HỢP (TỰ ĐỘNG)</x:v>
      </x:c>
    </x:row>
    <x:row r="13" ht="30" customHeight="1">
      <x:c r="A13" s="24" t="str">
        <x:v>Chỉ số</x:v>
      </x:c>
      <x:c r="B13" s="24" t="str">
        <x:v>Giá trị</x:v>
      </x:c>
      <x:c r="C13" s="24" t="str">
        <x:v>Tiêu chí / Ghi chú</x:v>
      </x:c>
    </x:row>
    <x:row r="14">
      <x:c r="A14" s="28" t="str">
        <x:v>Tổng Test Case</x:v>
      </x:c>
      <x:c r="B14" s="34" t="n">
        <x:f>COUNTA('Test Cases'!$A$6:$A$13)</x:f>
        <x:v>8</x:v>
      </x:c>
      <x:c r="C14" s="28" t="str">
        <x:v>Phạm vi Bài 3</x:v>
      </x:c>
    </x:row>
    <x:row r="15">
      <x:c r="A15" s="28" t="str">
        <x:v>PASS</x:v>
      </x:c>
      <x:c r="B15" s="34" t="n">
        <x:f>COUNTIF('Test Cases'!$J$6:$J$13,"PASS")</x:f>
        <x:v>5</x:v>
      </x:c>
      <x:c r="C15" s="28" t="str">
        <x:v>Kết quả mô phỏng</x:v>
      </x:c>
    </x:row>
    <x:row r="16">
      <x:c r="A16" s="28" t="str">
        <x:v>FAIL</x:v>
      </x:c>
      <x:c r="B16" s="34" t="n">
        <x:f>COUNTIF('Test Cases'!$J$6:$J$13,"FAIL")</x:f>
        <x:v>3</x:v>
      </x:c>
      <x:c r="C16" s="28" t="str">
        <x:v>Cần xử lý lỗi</x:v>
      </x:c>
    </x:row>
    <x:row r="17">
      <x:c r="A17" s="28" t="str">
        <x:v>Pass Rate</x:v>
      </x:c>
      <x:c r="B17" s="35" t="n">
        <x:f>IF(B14=0,0,B15/B14)</x:f>
        <x:v>0.625</x:v>
      </x:c>
      <x:c r="C17" s="28" t="str">
        <x:v>&gt;= 95% để đạt Exit Criteria</x:v>
      </x:c>
    </x:row>
    <x:row r="18">
      <x:c r="A18" s="28" t="str">
        <x:v>Tổng Defect</x:v>
      </x:c>
      <x:c r="B18" s="34" t="n">
        <x:f>COUNTA('Bug Report'!$A$6:$A$8)</x:f>
        <x:v>3</x:v>
      </x:c>
      <x:c r="C18" s="28" t="str">
        <x:v>Theo Bug Report</x:v>
      </x:c>
    </x:row>
    <x:row r="19">
      <x:c r="A19" s="28" t="str">
        <x:v>Exit Status</x:v>
      </x:c>
      <x:c r="B19" s="34" t="str">
        <x:f>IF(AND(B17&gt;=95%,COUNTIFS('Bug Report'!$H$6:$H$8,"Critical",'Bug Report'!$J$6:$J$8,"&lt;&gt;Closed")+COUNTIFS('Bug Report'!$H$6:$H$8,"High",'Bug Report'!$J$6:$J$8,"&lt;&gt;Closed")=0),"ĐẠT","CHƯA ĐẠT")</x:f>
        <x:v>CHƯA ĐẠT</x:v>
      </x:c>
      <x:c r="C19" s="28" t="str">
        <x:v>Không có Critical/High mở và Pass Rate &gt;= 95%</x:v>
      </x:c>
    </x:row>
    <x:row r="23" ht="30" customHeight="1">
      <x:c r="H23" s="24" t="str">
        <x:v>Mức độ lỗi</x:v>
      </x:c>
      <x:c r="I23" s="24" t="str">
        <x:v>Số lượng</x:v>
      </x:c>
    </x:row>
    <x:row r="24">
      <x:c r="H24" s="28" t="str">
        <x:v>Critical</x:v>
      </x:c>
      <x:c r="I24" s="28" t="n">
        <x:f>COUNTIF('Bug Report'!$H$6:$H$8,H24)</x:f>
        <x:v>0</x:v>
      </x:c>
    </x:row>
    <x:row r="25">
      <x:c r="H25" s="28" t="str">
        <x:v>High</x:v>
      </x:c>
      <x:c r="I25" s="28" t="n">
        <x:f>COUNTIF('Bug Report'!$H$6:$H$8,H25)</x:f>
        <x:v>3</x:v>
      </x:c>
    </x:row>
    <x:row r="26">
      <x:c r="H26" s="28" t="str">
        <x:v>Medium</x:v>
      </x:c>
      <x:c r="I26" s="28" t="n">
        <x:f>COUNTIF('Bug Report'!$H$6:$H$8,H26)</x:f>
        <x:v>0</x:v>
      </x:c>
    </x:row>
    <x:row r="27">
      <x:c r="H27" s="28" t="str">
        <x:v>Low</x:v>
      </x:c>
      <x:c r="I27" s="28" t="n">
        <x:f>COUNTIF('Bug Report'!$H$6:$H$8,H27)</x:f>
        <x:v>0</x:v>
      </x:c>
    </x:row>
  </x:sheetData>
  <x:mergeCells>
    <x:mergeCell ref="A1:N2"/>
    <x:mergeCell ref="A3:N3"/>
    <x:mergeCell ref="A5:D5"/>
    <x:mergeCell ref="B6:D6"/>
    <x:mergeCell ref="B7:D7"/>
    <x:mergeCell ref="B8:D8"/>
    <x:mergeCell ref="B9:D9"/>
    <x:mergeCell ref="B10:D10"/>
    <x:mergeCell ref="A12:D12"/>
  </x:mergeCells>
  <x:conditionalFormatting sqref="B19:B19">
    <x:cfRule type="expression" dxfId="0" priority="1">
      <x:formula>$B$19="ĐẠT"</x:formula>
    </x:cfRule>
    <x:cfRule type="expression" dxfId="1" priority="2">
      <x:formula>$B$19="CHƯA ĐẠT"</x:formula>
    </x:cfRule>
  </x:conditionalFormatting>
  <x:pageMargins left="0.7" right="0.7" top="0.75" bottom="0.75" header="0.3" footer="0.3"/>
  <x:drawing xmlns:r="http://schemas.openxmlformats.org/officeDocument/2006/relationships" r:id="Rc90a67fc5fc446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37" hidden="0" customWidth="1"/>
    <x:col min="4" max="4" width="17" hidden="0" customWidth="1"/>
    <x:col min="5" max="5" width="17" hidden="0" customWidth="1"/>
    <x:col min="6" max="6" width="45" hidden="0" customWidth="1"/>
  </x:cols>
  <x:sheetData>
    <x:row r="1" ht="30" customHeight="1">
      <x:c r="A1" s="4" t="str">
        <x:v>BÀI 1 — PHẠM VI, MỤC TIÊU VÀ RỦI RO KIỂM THỬ</x:v>
      </x:c>
      <x:c r="B1" s="4" t="str">
        <x:v>BÀI 1 — PHẠM VI, MỤC TIÊU VÀ RỦI RO KIỂM THỬ</x:v>
      </x:c>
      <x:c r="C1" s="4" t="str">
        <x:v>BÀI 1 — PHẠM VI, MỤC TIÊU VÀ RỦI RO KIỂM THỬ</x:v>
      </x:c>
      <x:c r="D1" s="4" t="str">
        <x:v>BÀI 1 — PHẠM VI, MỤC TIÊU VÀ RỦI RO KIỂM THỬ</x:v>
      </x:c>
      <x:c r="E1" s="4" t="str">
        <x:v>BÀI 1 — PHẠM VI, MỤC TIÊU VÀ RỦI RO KIỂM THỬ</x:v>
      </x:c>
      <x:c r="F1" s="4" t="str">
        <x:v>BÀI 1 — PHẠM VI, MỤC TIÊU VÀ RỦI RO KIỂM THỬ</x:v>
      </x:c>
    </x:row>
    <x:row r="2" ht="30" customHeight="1">
      <x:c r="A2" s="4" t="str">
        <x:v>BÀI 1 — PHẠM VI, MỤC TIÊU VÀ RỦI RO KIỂM THỬ</x:v>
      </x:c>
      <x:c r="B2" s="4" t="str">
        <x:v>BÀI 1 — PHẠM VI, MỤC TIÊU VÀ RỦI RO KIỂM THỬ</x:v>
      </x:c>
      <x:c r="C2" s="4" t="str">
        <x:v>BÀI 1 — PHẠM VI, MỤC TIÊU VÀ RỦI RO KIỂM THỬ</x:v>
      </x:c>
      <x:c r="D2" s="4" t="str">
        <x:v>BÀI 1 — PHẠM VI, MỤC TIÊU VÀ RỦI RO KIỂM THỬ</x:v>
      </x:c>
      <x:c r="E2" s="4" t="str">
        <x:v>BÀI 1 — PHẠM VI, MỤC TIÊU VÀ RỦI RO KIỂM THỬ</x:v>
      </x:c>
      <x:c r="F2" s="4" t="str">
        <x:v>BÀI 1 — PHẠM VI, MỤC TIÊU VÀ RỦI RO KIỂM THỬ</x:v>
      </x:c>
    </x:row>
    <x:row r="3">
      <x:c r="A3" s="38" t="str">
        <x:v>Phạm vi tập trung vào module Quản lý hóa đơn của Hotel Manager và các luồng liên quan trực tiếp.</x:v>
      </x:c>
      <x:c r="B3" s="38"/>
      <x:c r="C3" s="38"/>
      <x:c r="D3" s="38"/>
      <x:c r="E3" s="38"/>
      <x:c r="F3" s="38"/>
    </x:row>
    <x:row r="5" ht="22" customHeight="1">
      <x:c r="A5" s="11" t="str">
        <x:v>1. PHẠM VI KIỂM THỬ</x:v>
      </x:c>
      <x:c r="B5" s="11" t="str">
        <x:v>1. PHẠM VI KIỂM THỬ</x:v>
      </x:c>
      <x:c r="C5" s="11" t="str">
        <x:v>1. PHẠM VI KIỂM THỬ</x:v>
      </x:c>
      <x:c r="D5" s="11" t="str">
        <x:v>1. PHẠM VI KIỂM THỬ</x:v>
      </x:c>
      <x:c r="E5" s="11" t="str">
        <x:v>1. PHẠM VI KIỂM THỬ</x:v>
      </x:c>
      <x:c r="F5" s="11" t="str">
        <x:v>1. PHẠM VI KIỂM THỬ</x:v>
      </x:c>
    </x:row>
    <x:row r="6" ht="30" customHeight="1">
      <x:c r="A6" s="24" t="str">
        <x:v>STT</x:v>
      </x:c>
      <x:c r="B6" s="24" t="str">
        <x:v>Nhóm chức năng</x:v>
      </x:c>
      <x:c r="C6" s="24" t="str">
        <x:v>Nội dung kiểm thử</x:v>
      </x:c>
      <x:c r="D6" s="24" t="str">
        <x:v>Vai trò</x:v>
      </x:c>
      <x:c r="E6" s="24" t="str">
        <x:v>Mức ưu tiên</x:v>
      </x:c>
      <x:c r="F6" s="24" t="str">
        <x:v>Phạm vi</x:v>
      </x:c>
    </x:row>
    <x:row r="7">
      <x:c r="A7" s="28" t="n">
        <x:v>1</x:v>
      </x:c>
      <x:c r="B7" s="28" t="str">
        <x:v>Tạo hóa đơn</x:v>
      </x:c>
      <x:c r="C7" s="28" t="str">
        <x:v>Tạo hóa đơn từ một hoặc nhiều phòng của cùng khách hàng sau khi trả phòng.</x:v>
      </x:c>
      <x:c r="D7" s="28" t="str">
        <x:v>Admin / Staff</x:v>
      </x:c>
      <x:c r="E7" s="28" t="str">
        <x:v>P0</x:v>
      </x:c>
      <x:c r="F7" s="28" t="str">
        <x:v>In Scope</x:v>
      </x:c>
    </x:row>
    <x:row r="8">
      <x:c r="A8" s="28" t="n">
        <x:v>2</x:v>
      </x:c>
      <x:c r="B8" s="28" t="str">
        <x:v>Chi tiết hóa đơn</x:v>
      </x:c>
      <x:c r="C8" s="28" t="str">
        <x:v>Hiển thị khách hàng, email, phòng, dịch vụ, hình thức thanh toán và tổng tiền.</x:v>
      </x:c>
      <x:c r="D8" s="28" t="str">
        <x:v>Admin / Staff / Customer</x:v>
      </x:c>
      <x:c r="E8" s="28" t="str">
        <x:v>P0</x:v>
      </x:c>
      <x:c r="F8" s="28" t="str">
        <x:v>In Scope</x:v>
      </x:c>
    </x:row>
    <x:row r="9">
      <x:c r="A9" s="28" t="n">
        <x:v>3</x:v>
      </x:c>
      <x:c r="B9" s="28" t="str">
        <x:v>Dịch vụ hóa đơn</x:v>
      </x:c>
      <x:c r="C9" s="28" t="str">
        <x:v>Thêm dịch vụ với số lượng hợp lệ và cập nhật tổng tiền.</x:v>
      </x:c>
      <x:c r="D9" s="28" t="str">
        <x:v>Admin / Staff</x:v>
      </x:c>
      <x:c r="E9" s="28" t="str">
        <x:v>P0</x:v>
      </x:c>
      <x:c r="F9" s="28" t="str">
        <x:v>In Scope</x:v>
      </x:c>
    </x:row>
    <x:row r="10">
      <x:c r="A10" s="28" t="n">
        <x:v>4</x:v>
      </x:c>
      <x:c r="B10" s="28" t="str">
        <x:v>Thanh toán</x:v>
      </x:c>
      <x:c r="C10" s="28" t="str">
        <x:v>Xác nhận thanh toán bằng tiền mặt hoặc chuyển khoản.</x:v>
      </x:c>
      <x:c r="D10" s="28" t="str">
        <x:v>Admin / Staff</x:v>
      </x:c>
      <x:c r="E10" s="28" t="str">
        <x:v>P0</x:v>
      </x:c>
      <x:c r="F10" s="28" t="str">
        <x:v>In Scope</x:v>
      </x:c>
    </x:row>
    <x:row r="11">
      <x:c r="A11" s="28" t="n">
        <x:v>5</x:v>
      </x:c>
      <x:c r="B11" s="28" t="str">
        <x:v>Phân quyền</x:v>
      </x:c>
      <x:c r="C11" s="28" t="str">
        <x:v>Ngăn người không có quyền sửa hoặc xem hóa đơn không thuộc sở hữu.</x:v>
      </x:c>
      <x:c r="D11" s="28" t="str">
        <x:v>All roles</x:v>
      </x:c>
      <x:c r="E11" s="28" t="str">
        <x:v>P0</x:v>
      </x:c>
      <x:c r="F11" s="28" t="str">
        <x:v>In Scope</x:v>
      </x:c>
    </x:row>
    <x:row r="13" ht="22" customHeight="1">
      <x:c r="A13" s="11" t="str">
        <x:v>2. MỤC TIÊU KIỂM THỬ</x:v>
      </x:c>
      <x:c r="B13" s="11" t="str">
        <x:v>2. MỤC TIÊU KIỂM THỬ</x:v>
      </x:c>
      <x:c r="C13" s="11" t="str">
        <x:v>2. MỤC TIÊU KIỂM THỬ</x:v>
      </x:c>
      <x:c r="D13" s="11" t="str">
        <x:v>2. MỤC TIÊU KIỂM THỬ</x:v>
      </x:c>
      <x:c r="E13" s="11" t="str">
        <x:v>2. MỤC TIÊU KIỂM THỬ</x:v>
      </x:c>
      <x:c r="F13" s="11" t="str">
        <x:v>2. MỤC TIÊU KIỂM THỬ</x:v>
      </x:c>
    </x:row>
    <x:row r="14" ht="30" customHeight="1">
      <x:c r="A14" s="24" t="str">
        <x:v>Mục tiêu ID</x:v>
      </x:c>
      <x:c r="B14" s="24" t="str">
        <x:v>Mục tiêu</x:v>
      </x:c>
      <x:c r="C14" s="24" t="str">
        <x:v>Tiêu chí đánh giá</x:v>
      </x:c>
      <x:c r="D14" s="24" t="str">
        <x:v>Độ ưu tiên</x:v>
      </x:c>
      <x:c r="E14" s="24" t="str">
        <x:v>Owner</x:v>
      </x:c>
      <x:c r="F14" s="24" t="str">
        <x:v>Trạng thái</x:v>
      </x:c>
    </x:row>
    <x:row r="15">
      <x:c r="A15" s="28" t="str">
        <x:v>OBJ-01</x:v>
      </x:c>
      <x:c r="B15" s="28" t="str">
        <x:v>Xác minh dữ liệu hóa đơn chính xác và đầy đủ.</x:v>
      </x:c>
      <x:c r="C15" s="28" t="str">
        <x:v>Không sai khách, phòng, dịch vụ, giá và tổng tiền.</x:v>
      </x:c>
      <x:c r="D15" s="28" t="str">
        <x:v>P0</x:v>
      </x:c>
      <x:c r="E15" s="28" t="str">
        <x:v>Tester</x:v>
      </x:c>
      <x:c r="F15" s="28" t="str">
        <x:v>Đã đánh giá</x:v>
      </x:c>
    </x:row>
    <x:row r="16">
      <x:c r="A16" s="28" t="str">
        <x:v>OBJ-02</x:v>
      </x:c>
      <x:c r="B16" s="28" t="str">
        <x:v>Xác minh nghiệp vụ thanh toán và cập nhật trạng thái.</x:v>
      </x:c>
      <x:c r="C16" s="28" t="str">
        <x:v>Trạng thái và phương thức thanh toán được lưu đúng.</x:v>
      </x:c>
      <x:c r="D16" s="28" t="str">
        <x:v>P0</x:v>
      </x:c>
      <x:c r="E16" s="28" t="str">
        <x:v>Tester</x:v>
      </x:c>
      <x:c r="F16" s="28" t="str">
        <x:v>Đã đánh giá</x:v>
      </x:c>
    </x:row>
    <x:row r="17">
      <x:c r="A17" s="28" t="str">
        <x:v>OBJ-03</x:v>
      </x:c>
      <x:c r="B17" s="28" t="str">
        <x:v>Xác minh bảo mật và xử lý dữ liệu đầu vào.</x:v>
      </x:c>
      <x:c r="C17" s="28" t="str">
        <x:v>Không sửa chéo dữ liệu; dữ liệu sai bị từ chối thân thiện.</x:v>
      </x:c>
      <x:c r="D17" s="28" t="str">
        <x:v>P0</x:v>
      </x:c>
      <x:c r="E17" s="28" t="str">
        <x:v>Tester</x:v>
      </x:c>
      <x:c r="F17" s="28" t="str">
        <x:v>Có lỗi</x:v>
      </x:c>
    </x:row>
    <x:row r="19" ht="22" customHeight="1">
      <x:c r="A19" s="11" t="str">
        <x:v>3. RỦI RO KIỂM THỬ</x:v>
      </x:c>
      <x:c r="B19" s="11" t="str">
        <x:v>3. RỦI RO KIỂM THỬ</x:v>
      </x:c>
      <x:c r="C19" s="11" t="str">
        <x:v>3. RỦI RO KIỂM THỬ</x:v>
      </x:c>
      <x:c r="D19" s="11" t="str">
        <x:v>3. RỦI RO KIỂM THỬ</x:v>
      </x:c>
      <x:c r="E19" s="11" t="str">
        <x:v>3. RỦI RO KIỂM THỬ</x:v>
      </x:c>
      <x:c r="F19" s="11" t="str">
        <x:v>3. RỦI RO KIỂM THỬ</x:v>
      </x:c>
    </x:row>
    <x:row r="20" ht="30" customHeight="1">
      <x:c r="A20" s="24" t="str">
        <x:v>Risk ID</x:v>
      </x:c>
      <x:c r="B20" s="24" t="str">
        <x:v>Rủi ro</x:v>
      </x:c>
      <x:c r="C20" s="24" t="str">
        <x:v>Ảnh hưởng</x:v>
      </x:c>
      <x:c r="D20" s="24" t="str">
        <x:v>Khả năng</x:v>
      </x:c>
      <x:c r="E20" s="24" t="str">
        <x:v>Mức rủi ro</x:v>
      </x:c>
      <x:c r="F20" s="24" t="str">
        <x:v>Biện pháp giảm thiểu</x:v>
      </x:c>
    </x:row>
    <x:row r="21">
      <x:c r="A21" s="28" t="str">
        <x:v>R-01</x:v>
      </x:c>
      <x:c r="B21" s="28" t="str">
        <x:v>Tính sai tổng tiền phòng hoặc dịch vụ.</x:v>
      </x:c>
      <x:c r="C21" s="28" t="str">
        <x:v>Cao</x:v>
      </x:c>
      <x:c r="D21" s="28" t="str">
        <x:v>Trung bình</x:v>
      </x:c>
      <x:c r="E21" s="28" t="str">
        <x:v>High</x:v>
      </x:c>
      <x:c r="F21" s="28" t="str">
        <x:v>Đối chiếu công thức và dữ liệu chi tiết với tổng hóa đơn.</x:v>
      </x:c>
    </x:row>
    <x:row r="22">
      <x:c r="A22" s="28" t="str">
        <x:v>R-02</x:v>
      </x:c>
      <x:c r="B22" s="28" t="str">
        <x:v>Cho phép số lượng dịch vụ âm hoặc bằng 0.</x:v>
      </x:c>
      <x:c r="C22" s="28" t="str">
        <x:v>Cao</x:v>
      </x:c>
      <x:c r="D22" s="28" t="str">
        <x:v>Cao</x:v>
      </x:c>
      <x:c r="E22" s="28" t="str">
        <x:v>High</x:v>
      </x:c>
      <x:c r="F22" s="28" t="str">
        <x:v>Validate ở UI và server; thêm test biên/âm.</x:v>
      </x:c>
    </x:row>
    <x:row r="23">
      <x:c r="A23" s="28" t="str">
        <x:v>R-03</x:v>
      </x:c>
      <x:c r="B23" s="28" t="str">
        <x:v>Người dùng sửa hóa đơn không thuộc quyền sở hữu.</x:v>
      </x:c>
      <x:c r="C23" s="28" t="str">
        <x:v>Cao</x:v>
      </x:c>
      <x:c r="D23" s="28" t="str">
        <x:v>Cao</x:v>
      </x:c>
      <x:c r="E23" s="28" t="str">
        <x:v>Critical</x:v>
      </x:c>
      <x:c r="F23" s="28" t="str">
        <x:v>Kiểm tra role, ownership và trạng thái ở từng POST action.</x:v>
      </x:c>
    </x:row>
    <x:row r="24">
      <x:c r="A24" s="28" t="str">
        <x:v>R-04</x:v>
      </x:c>
      <x:c r="B24" s="28" t="str">
        <x:v>ID hóa đơn không tồn tại gây lỗi HTTP 500.</x:v>
      </x:c>
      <x:c r="C24" s="28" t="str">
        <x:v>Trung bình</x:v>
      </x:c>
      <x:c r="D24" s="28" t="str">
        <x:v>Cao</x:v>
      </x:c>
      <x:c r="E24" s="28" t="str">
        <x:v>High</x:v>
      </x:c>
      <x:c r="F24" s="28" t="str">
        <x:v>Kiểm tra null, trả 404/redirect kèm thông báo.</x:v>
      </x:c>
    </x:row>
    <x:row r="25">
      <x:c r="A25" s="28" t="str">
        <x:v>R-05</x:v>
      </x:c>
      <x:c r="B25" s="28" t="str">
        <x:v>Thanh toán lặp hoặc sửa hóa đơn đã thanh toán.</x:v>
      </x:c>
      <x:c r="C25" s="28" t="str">
        <x:v>Cao</x:v>
      </x:c>
      <x:c r="D25" s="28" t="str">
        <x:v>Trung bình</x:v>
      </x:c>
      <x:c r="E25" s="28" t="str">
        <x:v>High</x:v>
      </x:c>
      <x:c r="F25" s="28" t="str">
        <x:v>Khóa thao tác sau thanh toán và kiểm tra trạng thái server-side.</x:v>
      </x:c>
    </x:row>
    <x:row r="26">
      <x:c r="A26" s="28" t="str">
        <x:v>R-06</x:v>
      </x:c>
      <x:c r="B26" s="28" t="str">
        <x:v>Dữ liệu khách hàng/email không hiển thị nhất quán.</x:v>
      </x:c>
      <x:c r="C26" s="28" t="str">
        <x:v>Trung bình</x:v>
      </x:c>
      <x:c r="D26" s="28" t="str">
        <x:v>Trung bình</x:v>
      </x:c>
      <x:c r="E26" s="28" t="str">
        <x:v>Medium</x:v>
      </x:c>
      <x:c r="F26" s="28" t="str">
        <x:v>Đối chiếu DAO, entity và JSP ở phiếu/hóa đơn.</x:v>
      </x:c>
    </x:row>
  </x:sheetData>
  <x:mergeCells>
    <x:mergeCell ref="A1:F2"/>
    <x:mergeCell ref="A3:F3"/>
    <x:mergeCell ref="A5:F5"/>
    <x:mergeCell ref="A13:F13"/>
    <x:mergeCell ref="A19:F19"/>
  </x:mergeCells>
  <x:conditionalFormatting sqref="E21:E26">
    <x:cfRule type="containsText" dxfId="2" priority="1" operator="containsText" text="Critical"/>
    <x:cfRule type="containsText" dxfId="3" priority="2" operator="containsText" text="High"/>
  </x:conditionalFormatting>
  <x:pageMargins left="0.7" right="0.7" top="0.75" bottom="0.75" header="0.3" footer="0.3"/>
  <x:tableParts count="2">
    <x:tablePart xmlns:r="http://schemas.openxmlformats.org/officeDocument/2006/relationships" r:id="R6865f2f119b44124"/>
    <x:tablePart xmlns:r="http://schemas.openxmlformats.org/officeDocument/2006/relationships" r:id="R794d306e56574e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8" hidden="0" customWidth="1"/>
    <x:col min="4" max="4" width="2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BÀI 2 — TEST PLAN | MODULE QUẢN LÝ HÓA ĐƠN</x:v>
      </x:c>
      <x:c r="B1" s="4" t="str">
        <x:v>BÀI 2 — TEST PLAN | MODULE QUẢN LÝ HÓA ĐƠN</x:v>
      </x:c>
      <x:c r="C1" s="4" t="str">
        <x:v>BÀI 2 — TEST PLAN | MODULE QUẢN LÝ HÓA ĐƠN</x:v>
      </x:c>
      <x:c r="D1" s="4" t="str">
        <x:v>BÀI 2 — TEST PLAN | MODULE QUẢN LÝ HÓA ĐƠN</x:v>
      </x:c>
      <x:c r="E1" s="4" t="str">
        <x:v>BÀI 2 — TEST PLAN | MODULE QUẢN LÝ HÓA ĐƠN</x:v>
      </x:c>
      <x:c r="F1" s="4" t="str">
        <x:v>BÀI 2 — TEST PLAN | MODULE QUẢN LÝ HÓA ĐƠN</x:v>
      </x:c>
    </x:row>
    <x:row r="2" ht="30" customHeight="1">
      <x:c r="A2" s="4" t="str">
        <x:v>BÀI 2 — TEST PLAN | MODULE QUẢN LÝ HÓA ĐƠN</x:v>
      </x:c>
      <x:c r="B2" s="4" t="str">
        <x:v>BÀI 2 — TEST PLAN | MODULE QUẢN LÝ HÓA ĐƠN</x:v>
      </x:c>
      <x:c r="C2" s="4" t="str">
        <x:v>BÀI 2 — TEST PLAN | MODULE QUẢN LÝ HÓA ĐƠN</x:v>
      </x:c>
      <x:c r="D2" s="4" t="str">
        <x:v>BÀI 2 — TEST PLAN | MODULE QUẢN LÝ HÓA ĐƠN</x:v>
      </x:c>
      <x:c r="E2" s="4" t="str">
        <x:v>BÀI 2 — TEST PLAN | MODULE QUẢN LÝ HÓA ĐƠN</x:v>
      </x:c>
      <x:c r="F2" s="4" t="str">
        <x:v>BÀI 2 — TEST PLAN | MODULE QUẢN LÝ HÓA ĐƠN</x:v>
      </x:c>
    </x:row>
    <x:row r="3">
      <x:c r="A3" s="38" t="str">
        <x:v>Kế hoạch kiểm thử Manual kết hợp kiểm tra kỹ thuật có mục tiêu; dữ liệu và kết quả được quản lý trong workbook này.</x:v>
      </x:c>
      <x:c r="B3" s="38"/>
      <x:c r="C3" s="38"/>
      <x:c r="D3" s="38"/>
      <x:c r="E3" s="38"/>
      <x:c r="F3" s="38"/>
    </x:row>
    <x:row r="5" ht="22" customHeight="1">
      <x:c r="A5" s="11" t="str">
        <x:v>1. THÔNG TIN CHUNG</x:v>
      </x:c>
      <x:c r="B5" s="11" t="str">
        <x:v>1. THÔNG TIN CHUNG</x:v>
      </x:c>
      <x:c r="C5" s="11" t="str">
        <x:v>1. THÔNG TIN CHUNG</x:v>
      </x:c>
      <x:c r="D5" s="11" t="str">
        <x:v>1. THÔNG TIN CHUNG</x:v>
      </x:c>
      <x:c r="E5" s="11" t="str">
        <x:v>1. THÔNG TIN CHUNG</x:v>
      </x:c>
      <x:c r="F5" s="11" t="str">
        <x:v>1. THÔNG TIN CHUNG</x:v>
      </x:c>
    </x:row>
    <x:row r="6" ht="30" customHeight="1">
      <x:c r="A6" s="24" t="str">
        <x:v>Thuộc tính</x:v>
      </x:c>
      <x:c r="B6" s="24" t="str">
        <x:v>Nội dung</x:v>
      </x:c>
      <x:c r="C6" s="24" t="str">
        <x:v>Thuộc tính</x:v>
      </x:c>
      <x:c r="D6" s="24" t="str">
        <x:v>Nội dung</x:v>
      </x:c>
      <x:c r="E6" s="24" t="str">
        <x:v>Thuộc tính</x:v>
      </x:c>
      <x:c r="F6" s="24" t="str">
        <x:v>Nội dung</x:v>
      </x:c>
    </x:row>
    <x:row r="7">
      <x:c r="A7" s="28" t="str">
        <x:v>Project</x:v>
      </x:c>
      <x:c r="B7" s="28" t="str">
        <x:v>Hotel Manager</x:v>
      </x:c>
      <x:c r="C7" s="28" t="str">
        <x:v>Module</x:v>
      </x:c>
      <x:c r="D7" s="28" t="str">
        <x:v>Quản lý hóa đơn</x:v>
      </x:c>
      <x:c r="E7" s="28" t="str">
        <x:v>Version</x:v>
      </x:c>
      <x:c r="F7" s="28" t="str">
        <x:v>Lab 7</x:v>
      </x:c>
    </x:row>
    <x:row r="8">
      <x:c r="A8" s="28" t="str">
        <x:v>Test Level</x:v>
      </x:c>
      <x:c r="B8" s="28" t="str">
        <x:v>System / Functional</x:v>
      </x:c>
      <x:c r="C8" s="28" t="str">
        <x:v>Environment</x:v>
      </x:c>
      <x:c r="D8" s="28" t="str">
        <x:v>Eclipse + Tomcat 9 + SQL Server</x:v>
      </x:c>
      <x:c r="E8" s="28" t="str">
        <x:v>Ngày</x:v>
      </x:c>
      <x:c r="F8" s="39" t="n">
        <x:v>46245</x:v>
      </x:c>
    </x:row>
    <x:row r="9">
      <x:c r="A9" s="28" t="str">
        <x:v>In Scope</x:v>
      </x:c>
      <x:c r="B9" s="28" t="str">
        <x:v>Tạo, xem, thêm dịch vụ, thanh toán, phân quyền</x:v>
      </x:c>
      <x:c r="C9" s="28" t="str">
        <x:v>Out of Scope</x:v>
      </x:c>
      <x:c r="D9" s="28" t="str">
        <x:v>Bài 5 và tính năng ngoài hóa đơn</x:v>
      </x:c>
      <x:c r="E9" s="28" t="str">
        <x:v>Owner</x:v>
      </x:c>
      <x:c r="F9" s="28" t="str">
        <x:v>Tester</x:v>
      </x:c>
    </x:row>
    <x:row r="10">
      <x:c r="A10" s="28" t="str">
        <x:v>Approach</x:v>
      </x:c>
      <x:c r="B10" s="28" t="str">
        <x:v>Risk-based, data-driven</x:v>
      </x:c>
      <x:c r="C10" s="28" t="str">
        <x:v>Execution</x:v>
      </x:c>
      <x:c r="D10" s="28" t="str">
        <x:v>Manual + static/code inspection</x:v>
      </x:c>
      <x:c r="E10" s="28" t="str">
        <x:v>Status</x:v>
      </x:c>
      <x:c r="F10" s="28" t="str">
        <x:v>Executed</x:v>
      </x:c>
    </x:row>
    <x:row r="12" ht="22" customHeight="1">
      <x:c r="A12" s="11" t="str">
        <x:v>2. PHƯƠNG PHÁP VÀ CHIẾN LƯỢC</x:v>
      </x:c>
      <x:c r="B12" s="11" t="str">
        <x:v>2. PHƯƠNG PHÁP VÀ CHIẾN LƯỢC</x:v>
      </x:c>
      <x:c r="C12" s="11" t="str">
        <x:v>2. PHƯƠNG PHÁP VÀ CHIẾN LƯỢC</x:v>
      </x:c>
      <x:c r="D12" s="11" t="str">
        <x:v>2. PHƯƠNG PHÁP VÀ CHIẾN LƯỢC</x:v>
      </x:c>
      <x:c r="E12" s="11" t="str">
        <x:v>2. PHƯƠNG PHÁP VÀ CHIẾN LƯỢC</x:v>
      </x:c>
      <x:c r="F12" s="11" t="str">
        <x:v>2. PHƯƠNG PHÁP VÀ CHIẾN LƯỢC</x:v>
      </x:c>
    </x:row>
    <x:row r="13" ht="30" customHeight="1">
      <x:c r="A13" s="24" t="str">
        <x:v>Hạng mục</x:v>
      </x:c>
      <x:c r="B13" s="24" t="str">
        <x:v>Mô tả</x:v>
      </x:c>
      <x:c r="C13" s="24" t="str">
        <x:v>Công cụ</x:v>
      </x:c>
      <x:c r="D13" s="24" t="str">
        <x:v>Dữ liệu</x:v>
      </x:c>
      <x:c r="E13" s="24" t="str">
        <x:v>Ưu tiên</x:v>
      </x:c>
      <x:c r="F13" s="24" t="str">
        <x:v>Đầu ra</x:v>
      </x:c>
    </x:row>
    <x:row r="14">
      <x:c r="A14" s="28" t="str">
        <x:v>Functional Testing</x:v>
      </x:c>
      <x:c r="B14" s="28" t="str">
        <x:v>Kiểm tra các luồng tạo và xử lý hóa đơn end-to-end.</x:v>
      </x:c>
      <x:c r="C14" s="28" t="str">
        <x:v>Browser / Tomcat</x:v>
      </x:c>
      <x:c r="D14" s="28" t="str">
        <x:v>Booking đã check-out</x:v>
      </x:c>
      <x:c r="E14" s="28" t="str">
        <x:v>P0</x:v>
      </x:c>
      <x:c r="F14" s="28" t="str">
        <x:v>Test result</x:v>
      </x:c>
    </x:row>
    <x:row r="15">
      <x:c r="A15" s="28" t="str">
        <x:v>Negative Testing</x:v>
      </x:c>
      <x:c r="B15" s="28" t="str">
        <x:v>Nhập ID sai, số lượng âm, trộn khách hàng.</x:v>
      </x:c>
      <x:c r="C15" s="28" t="str">
        <x:v>Browser / request</x:v>
      </x:c>
      <x:c r="D15" s="28" t="str">
        <x:v>Boundary / invalid</x:v>
      </x:c>
      <x:c r="E15" s="28" t="str">
        <x:v>P0</x:v>
      </x:c>
      <x:c r="F15" s="28" t="str">
        <x:v>Defect</x:v>
      </x:c>
    </x:row>
    <x:row r="16">
      <x:c r="A16" s="28" t="str">
        <x:v>Authorization Testing</x:v>
      </x:c>
      <x:c r="B16" s="28" t="str">
        <x:v>Thử truy cập và sửa hóa đơn bằng role không phù hợp.</x:v>
      </x:c>
      <x:c r="C16" s="28" t="str">
        <x:v>Browser / session</x:v>
      </x:c>
      <x:c r="D16" s="28" t="str">
        <x:v>Customer account</x:v>
      </x:c>
      <x:c r="E16" s="28" t="str">
        <x:v>P0</x:v>
      </x:c>
      <x:c r="F16" s="28" t="str">
        <x:v>Security defect</x:v>
      </x:c>
    </x:row>
    <x:row r="17">
      <x:c r="A17" s="28" t="str">
        <x:v>UI/Data Verification</x:v>
      </x:c>
      <x:c r="B17" s="28" t="str">
        <x:v>Đối chiếu email, phương thức thanh toán, dòng dịch vụ và tổng tiền.</x:v>
      </x:c>
      <x:c r="C17" s="28" t="str">
        <x:v>JSP / database</x:v>
      </x:c>
      <x:c r="D17" s="28" t="str">
        <x:v>Known dataset</x:v>
      </x:c>
      <x:c r="E17" s="28" t="str">
        <x:v>P1</x:v>
      </x:c>
      <x:c r="F17" s="28" t="str">
        <x:v>Evidence</x:v>
      </x:c>
    </x:row>
    <x:row r="18">
      <x:c r="A18" s="28" t="str">
        <x:v>Regression</x:v>
      </x:c>
      <x:c r="B18" s="28" t="str">
        <x:v>Chạy lại các luồng chính sau khi sửa lỗi.</x:v>
      </x:c>
      <x:c r="C18" s="28" t="str">
        <x:v>Manual checklist</x:v>
      </x:c>
      <x:c r="D18" s="28" t="str">
        <x:v>Baseline dataset</x:v>
      </x:c>
      <x:c r="E18" s="28" t="str">
        <x:v>P1</x:v>
      </x:c>
      <x:c r="F18" s="28" t="str">
        <x:v>Regression report</x:v>
      </x:c>
    </x:row>
    <x:row r="20" ht="22" customHeight="1">
      <x:c r="A20" s="11" t="str">
        <x:v>3. NGUỒN LỰC VÀ TRÁCH NHIỆM</x:v>
      </x:c>
      <x:c r="B20" s="11" t="str">
        <x:v>3. NGUỒN LỰC VÀ TRÁCH NHIỆM</x:v>
      </x:c>
      <x:c r="C20" s="11" t="str">
        <x:v>3. NGUỒN LỰC VÀ TRÁCH NHIỆM</x:v>
      </x:c>
      <x:c r="D20" s="11" t="str">
        <x:v>3. NGUỒN LỰC VÀ TRÁCH NHIỆM</x:v>
      </x:c>
      <x:c r="E20" s="11" t="str">
        <x:v>3. NGUỒN LỰC VÀ TRÁCH NHIỆM</x:v>
      </x:c>
      <x:c r="F20" s="11" t="str">
        <x:v>3. NGUỒN LỰC VÀ TRÁCH NHIỆM</x:v>
      </x:c>
    </x:row>
    <x:row r="21" ht="30" customHeight="1">
      <x:c r="A21" s="24" t="str">
        <x:v>Vai trò</x:v>
      </x:c>
      <x:c r="B21" s="24" t="str">
        <x:v>Trách nhiệm</x:v>
      </x:c>
      <x:c r="C21" s="24" t="str">
        <x:v>Số lượng</x:v>
      </x:c>
      <x:c r="D21" s="24" t="str">
        <x:v>Môi trường</x:v>
      </x:c>
      <x:c r="E21" s="24" t="str">
        <x:v>Công cụ</x:v>
      </x:c>
      <x:c r="F21" s="24" t="str">
        <x:v>Bàn giao</x:v>
      </x:c>
    </x:row>
    <x:row r="22">
      <x:c r="A22" s="28" t="str">
        <x:v>Tester</x:v>
      </x:c>
      <x:c r="B22" s="28" t="str">
        <x:v>Thiết kế, chạy test, ghi nhận defect và retest.</x:v>
      </x:c>
      <x:c r="C22" s="28" t="n">
        <x:v>1</x:v>
      </x:c>
      <x:c r="D22" s="28" t="str">
        <x:v>Windows / Chrome</x:v>
      </x:c>
      <x:c r="E22" s="28" t="str">
        <x:v>Excel, Eclipse</x:v>
      </x:c>
      <x:c r="F22" s="28" t="str">
        <x:v>Test Case + Bug Report</x:v>
      </x:c>
    </x:row>
    <x:row r="23">
      <x:c r="A23" s="28" t="str">
        <x:v>Developer</x:v>
      </x:c>
      <x:c r="B23" s="28" t="str">
        <x:v>Phân tích nguyên nhân, sửa lỗi, self-test.</x:v>
      </x:c>
      <x:c r="C23" s="28" t="n">
        <x:v>1</x:v>
      </x:c>
      <x:c r="D23" s="28" t="str">
        <x:v>Eclipse / Tomcat 9</x:v>
      </x:c>
      <x:c r="E23" s="28" t="str">
        <x:v>Git, SQL Server</x:v>
      </x:c>
      <x:c r="F23" s="28" t="str">
        <x:v>Bản sửa lỗi</x:v>
      </x:c>
    </x:row>
    <x:row r="24">
      <x:c r="A24" s="28" t="str">
        <x:v>Leader</x:v>
      </x:c>
      <x:c r="B24" s="28" t="str">
        <x:v>Xác nhận phạm vi, ưu tiên và quyết định release.</x:v>
      </x:c>
      <x:c r="C24" s="28" t="n">
        <x:v>1</x:v>
      </x:c>
      <x:c r="D24" s="28" t="str">
        <x:v>Project</x:v>
      </x:c>
      <x:c r="E24" s="28" t="str">
        <x:v>Trello / GitHub</x:v>
      </x:c>
      <x:c r="F24" s="28" t="str">
        <x:v>Approval</x:v>
      </x:c>
    </x:row>
    <x:row r="25">
      <x:c r="A25" s="28" t="str">
        <x:v>Database</x:v>
      </x:c>
      <x:c r="B25" s="28" t="str">
        <x:v>Cung cấp dữ liệu booking, service, bill kiểm thử.</x:v>
      </x:c>
      <x:c r="C25" s="28" t="n">
        <x:v>1</x:v>
      </x:c>
      <x:c r="D25" s="28" t="str">
        <x:v>SQL Server</x:v>
      </x:c>
      <x:c r="E25" s="28" t="str">
        <x:v>SSMS / SQL script</x:v>
      </x:c>
      <x:c r="F25" s="28" t="str">
        <x:v>Test dataset</x:v>
      </x:c>
    </x:row>
    <x:row r="27" ht="22" customHeight="1">
      <x:c r="A27" s="11" t="str">
        <x:v>4. ENTRY / EXIT CRITERIA</x:v>
      </x:c>
      <x:c r="B27" s="11" t="str">
        <x:v>4. ENTRY / EXIT CRITERIA</x:v>
      </x:c>
      <x:c r="C27" s="11" t="str">
        <x:v>4. ENTRY / EXIT CRITERIA</x:v>
      </x:c>
      <x:c r="D27" s="11" t="str">
        <x:v>4. ENTRY / EXIT CRITERIA</x:v>
      </x:c>
      <x:c r="E27" s="11" t="str">
        <x:v>4. ENTRY / EXIT CRITERIA</x:v>
      </x:c>
      <x:c r="F27" s="11" t="str">
        <x:v>4. ENTRY / EXIT CRITERIA</x:v>
      </x:c>
    </x:row>
    <x:row r="28" ht="30" customHeight="1">
      <x:c r="A28" s="24" t="str">
        <x:v>Loại</x:v>
      </x:c>
      <x:c r="B28" s="24" t="str">
        <x:v>Tiêu chí</x:v>
      </x:c>
      <x:c r="C28" s="24" t="str">
        <x:v>Bắt buộc</x:v>
      </x:c>
      <x:c r="D28" s="24" t="str">
        <x:v>Cách xác minh</x:v>
      </x:c>
      <x:c r="E28" s="24" t="str">
        <x:v>Trạng thái</x:v>
      </x:c>
      <x:c r="F28" s="24" t="str">
        <x:v>Ghi chú</x:v>
      </x:c>
    </x:row>
    <x:row r="29">
      <x:c r="A29" s="28" t="str">
        <x:v>Entry</x:v>
      </x:c>
      <x:c r="B29" s="28" t="str">
        <x:v>Build triển khai được trên Tomcat 9.</x:v>
      </x:c>
      <x:c r="C29" s="28" t="str">
        <x:v>Có</x:v>
      </x:c>
      <x:c r="D29" s="28" t="str">
        <x:v>Compile Java/JSP</x:v>
      </x:c>
      <x:c r="E29" s="28" t="str">
        <x:v>Đạt</x:v>
      </x:c>
      <x:c r="F29" s="28" t="str">
        <x:v>Đã compile Java 11 và JSP mục tiêu.</x:v>
      </x:c>
    </x:row>
    <x:row r="30">
      <x:c r="A30" s="28" t="str">
        <x:v>Entry</x:v>
      </x:c>
      <x:c r="B30" s="28" t="str">
        <x:v>Database có booking check-out và dịch vụ mẫu.</x:v>
      </x:c>
      <x:c r="C30" s="28" t="str">
        <x:v>Có</x:v>
      </x:c>
      <x:c r="D30" s="28" t="str">
        <x:v>Query / UI</x:v>
      </x:c>
      <x:c r="E30" s="28" t="str">
        <x:v>Giả lập</x:v>
      </x:c>
      <x:c r="F30" s="28" t="str">
        <x:v>Dùng dữ liệu mô phỏng có kiểm soát.</x:v>
      </x:c>
    </x:row>
    <x:row r="31">
      <x:c r="A31" s="28" t="str">
        <x:v>Entry</x:v>
      </x:c>
      <x:c r="B31" s="28" t="str">
        <x:v>Tài khoản Admin/Staff/Customer sẵn sàng.</x:v>
      </x:c>
      <x:c r="C31" s="28" t="str">
        <x:v>Có</x:v>
      </x:c>
      <x:c r="D31" s="28" t="str">
        <x:v>Login</x:v>
      </x:c>
      <x:c r="E31" s="28" t="str">
        <x:v>Giả lập</x:v>
      </x:c>
      <x:c r="F31" s="28" t="str">
        <x:v>Phục vụ kiểm tra role.</x:v>
      </x:c>
    </x:row>
    <x:row r="32">
      <x:c r="A32" s="28" t="str">
        <x:v>Exit</x:v>
      </x:c>
      <x:c r="B32" s="28" t="str">
        <x:v>100% test case P0/P1 đã chạy.</x:v>
      </x:c>
      <x:c r="C32" s="28" t="str">
        <x:v>Có</x:v>
      </x:c>
      <x:c r="D32" s="28" t="str">
        <x:v>Execution Log</x:v>
      </x:c>
      <x:c r="E32" s="28" t="str">
        <x:v>Đạt</x:v>
      </x:c>
      <x:c r="F32" s="28" t="str">
        <x:v>8/8 test case đã có kết quả.</x:v>
      </x:c>
    </x:row>
    <x:row r="33">
      <x:c r="A33" s="28" t="str">
        <x:v>Exit</x:v>
      </x:c>
      <x:c r="B33" s="28" t="str">
        <x:v>Pass Rate &gt;= 95%.</x:v>
      </x:c>
      <x:c r="C33" s="28" t="str">
        <x:v>Có</x:v>
      </x:c>
      <x:c r="D33" s="28" t="str">
        <x:v>Dashboard</x:v>
      </x:c>
      <x:c r="E33" s="28" t="str">
        <x:v>Chưa đạt</x:v>
      </x:c>
      <x:c r="F33" s="28" t="str">
        <x:v>Hiện tại 5/8 PASS = 62,5%.</x:v>
      </x:c>
    </x:row>
    <x:row r="34">
      <x:c r="A34" s="28" t="str">
        <x:v>Exit</x:v>
      </x:c>
      <x:c r="B34" s="28" t="str">
        <x:v>Không còn defect Critical/High ở trạng thái mở.</x:v>
      </x:c>
      <x:c r="C34" s="28" t="str">
        <x:v>Có</x:v>
      </x:c>
      <x:c r="D34" s="28" t="str">
        <x:v>Bug Report</x:v>
      </x:c>
      <x:c r="E34" s="28" t="str">
        <x:v>Chưa đạt</x:v>
      </x:c>
      <x:c r="F34" s="28" t="str">
        <x:v>3 defect High đang New.</x:v>
      </x:c>
    </x:row>
  </x:sheetData>
  <x:mergeCells>
    <x:mergeCell ref="A1:F2"/>
    <x:mergeCell ref="A3:F3"/>
    <x:mergeCell ref="A5:F5"/>
    <x:mergeCell ref="A12:F12"/>
    <x:mergeCell ref="A20:F20"/>
    <x:mergeCell ref="A27:F27"/>
  </x:mergeCells>
  <x:conditionalFormatting sqref="E29:E34">
    <x:cfRule type="expression" dxfId="4" priority="1">
      <x:formula>$E29="Đạt"</x:formula>
    </x:cfRule>
    <x:cfRule type="expression" dxfId="5" priority="2">
      <x:formula>$E29="Chưa đạt"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31" hidden="0" customWidth="1"/>
    <x:col min="4" max="4" width="27" hidden="0" customWidth="1"/>
    <x:col min="5" max="5" width="36" hidden="0" customWidth="1"/>
    <x:col min="6" max="6" width="38" hidden="0" customWidth="1"/>
    <x:col min="7" max="7" width="38" hidden="0" customWidth="1"/>
    <x:col min="8" max="8" width="16" hidden="0" customWidth="1"/>
    <x:col min="9" max="9" width="11" hidden="0" customWidth="1"/>
    <x:col min="10" max="10" width="13" hidden="0" customWidth="1"/>
  </x:cols>
  <x:sheetData>
    <x:row r="1" ht="30" customHeight="1">
      <x:c r="A1" s="4" t="str">
        <x:v>BÀI 3 — TEST CASES | QUẢN LÝ HÓA ĐƠN</x:v>
      </x:c>
      <x:c r="B1" s="4" t="str">
        <x:v>BÀI 3 — TEST CASES | QUẢN LÝ HÓA ĐƠN</x:v>
      </x:c>
      <x:c r="C1" s="4" t="str">
        <x:v>BÀI 3 — TEST CASES | QUẢN LÝ HÓA ĐƠN</x:v>
      </x:c>
      <x:c r="D1" s="4" t="str">
        <x:v>BÀI 3 — TEST CASES | QUẢN LÝ HÓA ĐƠN</x:v>
      </x:c>
      <x:c r="E1" s="4" t="str">
        <x:v>BÀI 3 — TEST CASES | QUẢN LÝ HÓA ĐƠN</x:v>
      </x:c>
      <x:c r="F1" s="4" t="str">
        <x:v>BÀI 3 — TEST CASES | QUẢN LÝ HÓA ĐƠN</x:v>
      </x:c>
      <x:c r="G1" s="4" t="str">
        <x:v>BÀI 3 — TEST CASES | QUẢN LÝ HÓA ĐƠN</x:v>
      </x:c>
      <x:c r="H1" s="4" t="str">
        <x:v>BÀI 3 — TEST CASES | QUẢN LÝ HÓA ĐƠN</x:v>
      </x:c>
      <x:c r="I1" s="4" t="str">
        <x:v>BÀI 3 — TEST CASES | QUẢN LÝ HÓA ĐƠN</x:v>
      </x:c>
      <x:c r="J1" s="4" t="str">
        <x:v>BÀI 3 — TEST CASES | QUẢN LÝ HÓA ĐƠN</x:v>
      </x:c>
    </x:row>
    <x:row r="2" ht="30" customHeight="1">
      <x:c r="A2" s="4" t="str">
        <x:v>BÀI 3 — TEST CASES | QUẢN LÝ HÓA ĐƠN</x:v>
      </x:c>
      <x:c r="B2" s="4" t="str">
        <x:v>BÀI 3 — TEST CASES | QUẢN LÝ HÓA ĐƠN</x:v>
      </x:c>
      <x:c r="C2" s="4" t="str">
        <x:v>BÀI 3 — TEST CASES | QUẢN LÝ HÓA ĐƠN</x:v>
      </x:c>
      <x:c r="D2" s="4" t="str">
        <x:v>BÀI 3 — TEST CASES | QUẢN LÝ HÓA ĐƠN</x:v>
      </x:c>
      <x:c r="E2" s="4" t="str">
        <x:v>BÀI 3 — TEST CASES | QUẢN LÝ HÓA ĐƠN</x:v>
      </x:c>
      <x:c r="F2" s="4" t="str">
        <x:v>BÀI 3 — TEST CASES | QUẢN LÝ HÓA ĐƠN</x:v>
      </x:c>
      <x:c r="G2" s="4" t="str">
        <x:v>BÀI 3 — TEST CASES | QUẢN LÝ HÓA ĐƠN</x:v>
      </x:c>
      <x:c r="H2" s="4" t="str">
        <x:v>BÀI 3 — TEST CASES | QUẢN LÝ HÓA ĐƠN</x:v>
      </x:c>
      <x:c r="I2" s="4" t="str">
        <x:v>BÀI 3 — TEST CASES | QUẢN LÝ HÓA ĐƠN</x:v>
      </x:c>
      <x:c r="J2" s="4" t="str">
        <x:v>BÀI 3 — TEST CASES | QUẢN LÝ HÓA ĐƠN</x:v>
      </x:c>
    </x:row>
    <x:row r="3">
      <x:c r="A3" s="38" t="str">
        <x:v>Các cột Type, Priority và Result có danh sách lựa chọn. Có thể cập nhật Actual Result và Result sau mỗi lần chạy lại.</x:v>
      </x:c>
      <x:c r="B3" s="38"/>
      <x:c r="C3" s="38"/>
      <x:c r="D3" s="38"/>
      <x:c r="E3" s="38"/>
      <x:c r="F3" s="38"/>
      <x:c r="G3" s="38"/>
      <x:c r="H3" s="38"/>
      <x:c r="I3" s="38"/>
      <x:c r="J3" s="38"/>
    </x:row>
    <x:row r="5" ht="30" customHeight="1">
      <x:c r="A5" s="24" t="str">
        <x:v>Test Case ID</x:v>
      </x:c>
      <x:c r="B5" s="24" t="str">
        <x:v>Unit to Test</x:v>
      </x:c>
      <x:c r="C5" s="24" t="str">
        <x:v>Preconditions</x:v>
      </x:c>
      <x:c r="D5" s="24" t="str">
        <x:v>Test Data</x:v>
      </x:c>
      <x:c r="E5" s="24" t="str">
        <x:v>Steps to Execute</x:v>
      </x:c>
      <x:c r="F5" s="24" t="str">
        <x:v>Expected Result</x:v>
      </x:c>
      <x:c r="G5" s="24" t="str">
        <x:v>Actual Result</x:v>
      </x:c>
      <x:c r="H5" s="24" t="str">
        <x:v>Type</x:v>
      </x:c>
      <x:c r="I5" s="24" t="str">
        <x:v>Priority</x:v>
      </x:c>
      <x:c r="J5" s="24" t="str">
        <x:v>Result</x:v>
      </x:c>
    </x:row>
    <x:row r="6" ht="84" customHeight="1">
      <x:c r="A6" s="40" t="str">
        <x:v>TC-HD-01</x:v>
      </x:c>
      <x:c r="B6" s="28" t="str">
        <x:v>Tạo hóa đơn 1 phòng</x:v>
      </x:c>
      <x:c r="C6" s="28" t="str">
        <x:v>Booking đã check-out, chưa có hóa đơn</x:v>
      </x:c>
      <x:c r="D6" s="28" t="str">
        <x:v>1 booking cùng khách</x:v>
      </x:c>
      <x:c r="E6" s="28" t="str">
        <x:v>1) Mở danh sách booking.
2) Chọn phòng đã trả.
3) Tạo hóa đơn.</x:v>
      </x:c>
      <x:c r="F6" s="28" t="str">
        <x:v>Tạo 1 hóa đơn đúng khách, phòng, giá và trạng thái chưa thanh toán.</x:v>
      </x:c>
      <x:c r="G6" s="28" t="str">
        <x:v>Hóa đơn được tạo đúng, chi tiết hiển thị đầy đủ.</x:v>
      </x:c>
      <x:c r="H6" s="28" t="str">
        <x:v>Happy Path</x:v>
      </x:c>
      <x:c r="I6" s="28" t="str">
        <x:v>P0</x:v>
      </x:c>
      <x:c r="J6" s="28" t="str">
        <x:v>PASS</x:v>
      </x:c>
    </x:row>
    <x:row r="7" ht="84" customHeight="1">
      <x:c r="A7" s="40" t="str">
        <x:v>TC-HD-02</x:v>
      </x:c>
      <x:c r="B7" s="28" t="str">
        <x:v>Tạo hóa đơn nhiều phòng</x:v>
      </x:c>
      <x:c r="C7" s="28" t="str">
        <x:v>Nhiều booking đã check-out của cùng khách</x:v>
      </x:c>
      <x:c r="D7" s="28" t="str">
        <x:v>2–3 phòng cùng customerId</x:v>
      </x:c>
      <x:c r="E7" s="28" t="str">
        <x:v>1) Bật chọn nhiều.
2) Chọn các phòng cùng khách.
3) Tạo hóa đơn.</x:v>
      </x:c>
      <x:c r="F7" s="28" t="str">
        <x:v>Tạo 1 hóa đơn tổng hợp; tổng tiền bằng tổng các phòng và dịch vụ.</x:v>
      </x:c>
      <x:c r="G7" s="28" t="str">
        <x:v>Chọn nhiều cùng khách và tính tổng thành công.</x:v>
      </x:c>
      <x:c r="H7" s="28" t="str">
        <x:v>Happy Path</x:v>
      </x:c>
      <x:c r="I7" s="28" t="str">
        <x:v>P0</x:v>
      </x:c>
      <x:c r="J7" s="28" t="str">
        <x:v>PASS</x:v>
      </x:c>
    </x:row>
    <x:row r="8" ht="84" customHeight="1">
      <x:c r="A8" s="40" t="str">
        <x:v>TC-HD-03</x:v>
      </x:c>
      <x:c r="B8" s="28" t="str">
        <x:v>Chặn trộn khách hàng</x:v>
      </x:c>
      <x:c r="C8" s="28" t="str">
        <x:v>Có booking của ít nhất 2 khách</x:v>
      </x:c>
      <x:c r="D8" s="28" t="str">
        <x:v>1 phòng khách A + 1 phòng khách B</x:v>
      </x:c>
      <x:c r="E8" s="28" t="str">
        <x:v>1) Chọn phòng khách A.
2) Thử chọn phòng khách B.</x:v>
      </x:c>
      <x:c r="F8" s="28" t="str">
        <x:v>Phòng khách B bị vô hiệu hóa hoặc hệ thống từ chối, không tạo hóa đơn sai.</x:v>
      </x:c>
      <x:c r="G8" s="28" t="str">
        <x:v>Phòng khác khách bị khóa đúng thiết kế.</x:v>
      </x:c>
      <x:c r="H8" s="28" t="str">
        <x:v>Negative</x:v>
      </x:c>
      <x:c r="I8" s="28" t="str">
        <x:v>P0</x:v>
      </x:c>
      <x:c r="J8" s="28" t="str">
        <x:v>PASS</x:v>
      </x:c>
    </x:row>
    <x:row r="9" ht="84" customHeight="1">
      <x:c r="A9" s="40" t="str">
        <x:v>TC-HD-04</x:v>
      </x:c>
      <x:c r="B9" s="28" t="str">
        <x:v>Thêm dịch vụ hợp lệ</x:v>
      </x:c>
      <x:c r="C9" s="28" t="str">
        <x:v>Hóa đơn chưa thanh toán</x:v>
      </x:c>
      <x:c r="D9" s="28" t="str">
        <x:v>Service ID hợp lệ; quantity = 2</x:v>
      </x:c>
      <x:c r="E9" s="28" t="str">
        <x:v>1) Mở chi tiết hóa đơn.
2) Chọn dịch vụ.
3) Nhập 2.
4) Xác nhận.</x:v>
      </x:c>
      <x:c r="F9" s="28" t="str">
        <x:v>Thêm dịch vụ và tăng tổng tiền đúng 2 × đơn giá.</x:v>
      </x:c>
      <x:c r="G9" s="28" t="str">
        <x:v>Dòng dịch vụ và tổng tiền cập nhật đúng.</x:v>
      </x:c>
      <x:c r="H9" s="28" t="str">
        <x:v>Happy Path</x:v>
      </x:c>
      <x:c r="I9" s="28" t="str">
        <x:v>P0</x:v>
      </x:c>
      <x:c r="J9" s="28" t="str">
        <x:v>PASS</x:v>
      </x:c>
    </x:row>
    <x:row r="10" ht="84" customHeight="1">
      <x:c r="A10" s="40" t="str">
        <x:v>TC-HD-05</x:v>
      </x:c>
      <x:c r="B10" s="28" t="str">
        <x:v>Validate số lượng dịch vụ</x:v>
      </x:c>
      <x:c r="C10" s="28" t="str">
        <x:v>Hóa đơn chưa thanh toán</x:v>
      </x:c>
      <x:c r="D10" s="28" t="str">
        <x:v>quantity = -2</x:v>
      </x:c>
      <x:c r="E10" s="28" t="str">
        <x:v>1) Mở chi tiết hóa đơn.
2) Chọn dịch vụ.
3) Gửi số lượng -2.</x:v>
      </x:c>
      <x:c r="F10" s="28" t="str">
        <x:v>Từ chối dữ liệu; hiển thị lỗi; tổng hóa đơn không đổi.</x:v>
      </x:c>
      <x:c r="G10" s="28" t="str">
        <x:v>Server chấp nhận số âm, tạo dòng âm và làm giảm tổng tiền.</x:v>
      </x:c>
      <x:c r="H10" s="28" t="str">
        <x:v>Negative</x:v>
      </x:c>
      <x:c r="I10" s="28" t="str">
        <x:v>P0</x:v>
      </x:c>
      <x:c r="J10" s="28" t="str">
        <x:v>FAIL</x:v>
      </x:c>
    </x:row>
    <x:row r="11" ht="84" customHeight="1">
      <x:c r="A11" s="40" t="str">
        <x:v>TC-HD-06</x:v>
      </x:c>
      <x:c r="B11" s="28" t="str">
        <x:v>Thanh toán tiền mặt</x:v>
      </x:c>
      <x:c r="C11" s="28" t="str">
        <x:v>Hóa đơn chưa thanh toán, tổng tiền &gt; 0</x:v>
      </x:c>
      <x:c r="D11" s="28" t="str">
        <x:v>paymentMethod = Cash</x:v>
      </x:c>
      <x:c r="E11" s="28" t="str">
        <x:v>1) Mở hóa đơn.
2) Chọn Tiền mặt.
3) Xác nhận thanh toán.</x:v>
      </x:c>
      <x:c r="F11" s="28" t="str">
        <x:v>Lưu phương thức thanh toán, đổi trạng thái Paid và giữ nguyên tổng tiền.</x:v>
      </x:c>
      <x:c r="G11" s="28" t="str">
        <x:v>Thanh toán và hiển thị phương thức đúng.</x:v>
      </x:c>
      <x:c r="H11" s="28" t="str">
        <x:v>Happy Path</x:v>
      </x:c>
      <x:c r="I11" s="28" t="str">
        <x:v>P0</x:v>
      </x:c>
      <x:c r="J11" s="28" t="str">
        <x:v>PASS</x:v>
      </x:c>
    </x:row>
    <x:row r="12" ht="84" customHeight="1">
      <x:c r="A12" s="40" t="str">
        <x:v>TC-HD-07</x:v>
      </x:c>
      <x:c r="B12" s="28" t="str">
        <x:v>Phân quyền thêm dịch vụ</x:v>
      </x:c>
      <x:c r="C12" s="28" t="str">
        <x:v>Đăng nhập Customer; biết ID hóa đơn khác</x:v>
      </x:c>
      <x:c r="D12" s="28" t="str">
        <x:v>POST addService tới billId khác</x:v>
      </x:c>
      <x:c r="E12" s="28" t="str">
        <x:v>1) Đăng nhập Customer.
2) Gửi POST addService cho hóa đơn không thuộc sở hữu.</x:v>
      </x:c>
      <x:c r="F12" s="28" t="str">
        <x:v>Trả 403/redirect; không thay đổi dữ liệu hóa đơn.</x:v>
      </x:c>
      <x:c r="G12" s="28" t="str">
        <x:v>Request vẫn được xử lý vì action không kiểm tra role/ownership/status.</x:v>
      </x:c>
      <x:c r="H12" s="28" t="str">
        <x:v>Security</x:v>
      </x:c>
      <x:c r="I12" s="28" t="str">
        <x:v>P0</x:v>
      </x:c>
      <x:c r="J12" s="28" t="str">
        <x:v>FAIL</x:v>
      </x:c>
    </x:row>
    <x:row r="13" ht="84" customHeight="1">
      <x:c r="A13" s="40" t="str">
        <x:v>TC-HD-08</x:v>
      </x:c>
      <x:c r="B13" s="28" t="str">
        <x:v>Xử lý ID hóa đơn sai</x:v>
      </x:c>
      <x:c r="C13" s="28" t="str">
        <x:v>Người dùng đã đăng nhập</x:v>
      </x:c>
      <x:c r="D13" s="28" t="str">
        <x:v>id = 999999 hoặc chuỗi sai</x:v>
      </x:c>
      <x:c r="E13" s="28" t="str">
        <x:v>1) Truy cập /bills?action=detail&amp;id=999999.
2) Quan sát phản hồi.</x:v>
      </x:c>
      <x:c r="F13" s="28" t="str">
        <x:v>Trả 404/redirect và thông báo hóa đơn không tồn tại.</x:v>
      </x:c>
      <x:c r="G13" s="28" t="str">
        <x:v>Bill null bị sử dụng trước khi kiểm tra, phát sinh HTTP 500/NPE.</x:v>
      </x:c>
      <x:c r="H13" s="28" t="str">
        <x:v>Exception</x:v>
      </x:c>
      <x:c r="I13" s="28" t="str">
        <x:v>P1</x:v>
      </x:c>
      <x:c r="J13" s="28" t="str">
        <x:v>FAIL</x:v>
      </x:c>
    </x:row>
  </x:sheetData>
  <x:mergeCells>
    <x:mergeCell ref="A1:J2"/>
    <x:mergeCell ref="A3:J3"/>
  </x:mergeCells>
  <x:conditionalFormatting sqref="J6:J13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</x:conditionalFormatting>
  <x:conditionalFormatting sqref="I6:I13">
    <x:cfRule type="containsText" dxfId="9" priority="4" operator="containsText" text="P0"/>
  </x:conditionalFormatting>
  <x:dataValidations count="3">
    <x:dataValidation type="list" sqref="H6:H13">
      <x:formula1>"Happy Path,Negative,Security,Exception"</x:formula1>
    </x:dataValidation>
    <x:dataValidation type="list" sqref="I6:I13">
      <x:formula1>"P0,P1,P2,P3"</x:formula1>
    </x:dataValidation>
    <x:dataValidation type="list" sqref="J6:J13">
      <x:formula1>"PASS,FAIL,NOT 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2a74d89ee74c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29" hidden="0" customWidth="1"/>
    <x:col min="5" max="5" width="39" hidden="0" customWidth="1"/>
    <x:col min="6" max="6" width="37" hidden="0" customWidth="1"/>
    <x:col min="7" max="7" width="35" hidden="0" customWidth="1"/>
    <x:col min="8" max="8" width="13" hidden="0" customWidth="1"/>
    <x:col min="9" max="9" width="11" hidden="0" customWidth="1"/>
    <x:col min="10" max="10" width="17" hidden="0" customWidth="1"/>
    <x:col min="11" max="11" width="25" hidden="0" customWidth="1"/>
  </x:cols>
  <x:sheetData>
    <x:row r="1" ht="30" customHeight="1">
      <x:c r="A1" s="4" t="str">
        <x:v>BÀI 4 — BUG REPORT | DEFECTS PHÁT HIỆN</x:v>
      </x:c>
      <x:c r="B1" s="4" t="str">
        <x:v>BÀI 4 — BUG REPORT | DEFECTS PHÁT HIỆN</x:v>
      </x:c>
      <x:c r="C1" s="4" t="str">
        <x:v>BÀI 4 — BUG REPORT | DEFECTS PHÁT HIỆN</x:v>
      </x:c>
      <x:c r="D1" s="4" t="str">
        <x:v>BÀI 4 — BUG REPORT | DEFECTS PHÁT HIỆN</x:v>
      </x:c>
      <x:c r="E1" s="4" t="str">
        <x:v>BÀI 4 — BUG REPORT | DEFECTS PHÁT HIỆN</x:v>
      </x:c>
      <x:c r="F1" s="4" t="str">
        <x:v>BÀI 4 — BUG REPORT | DEFECTS PHÁT HIỆN</x:v>
      </x:c>
      <x:c r="G1" s="4" t="str">
        <x:v>BÀI 4 — BUG REPORT | DEFECTS PHÁT HIỆN</x:v>
      </x:c>
      <x:c r="H1" s="4" t="str">
        <x:v>BÀI 4 — BUG REPORT | DEFECTS PHÁT HIỆN</x:v>
      </x:c>
      <x:c r="I1" s="4" t="str">
        <x:v>BÀI 4 — BUG REPORT | DEFECTS PHÁT HIỆN</x:v>
      </x:c>
      <x:c r="J1" s="4" t="str">
        <x:v>BÀI 4 — BUG REPORT | DEFECTS PHÁT HIỆN</x:v>
      </x:c>
      <x:c r="K1" s="4" t="str">
        <x:v>BÀI 4 — BUG REPORT | DEFECTS PHÁT HIỆN</x:v>
      </x:c>
    </x:row>
    <x:row r="2" ht="30" customHeight="1">
      <x:c r="A2" s="4" t="str">
        <x:v>BÀI 4 — BUG REPORT | DEFECTS PHÁT HIỆN</x:v>
      </x:c>
      <x:c r="B2" s="4" t="str">
        <x:v>BÀI 4 — BUG REPORT | DEFECTS PHÁT HIỆN</x:v>
      </x:c>
      <x:c r="C2" s="4" t="str">
        <x:v>BÀI 4 — BUG REPORT | DEFECTS PHÁT HIỆN</x:v>
      </x:c>
      <x:c r="D2" s="4" t="str">
        <x:v>BÀI 4 — BUG REPORT | DEFECTS PHÁT HIỆN</x:v>
      </x:c>
      <x:c r="E2" s="4" t="str">
        <x:v>BÀI 4 — BUG REPORT | DEFECTS PHÁT HIỆN</x:v>
      </x:c>
      <x:c r="F2" s="4" t="str">
        <x:v>BÀI 4 — BUG REPORT | DEFECTS PHÁT HIỆN</x:v>
      </x:c>
      <x:c r="G2" s="4" t="str">
        <x:v>BÀI 4 — BUG REPORT | DEFECTS PHÁT HIỆN</x:v>
      </x:c>
      <x:c r="H2" s="4" t="str">
        <x:v>BÀI 4 — BUG REPORT | DEFECTS PHÁT HIỆN</x:v>
      </x:c>
      <x:c r="I2" s="4" t="str">
        <x:v>BÀI 4 — BUG REPORT | DEFECTS PHÁT HIỆN</x:v>
      </x:c>
      <x:c r="J2" s="4" t="str">
        <x:v>BÀI 4 — BUG REPORT | DEFECTS PHÁT HIỆN</x:v>
      </x:c>
      <x:c r="K2" s="4" t="str">
        <x:v>BÀI 4 — BUG REPORT | DEFECTS PHÁT HIỆN</x:v>
      </x:c>
    </x:row>
    <x:row r="3">
      <x:c r="A3" s="38" t="str">
        <x:v>Ba lỗi được phát hiện từ việc mô phỏng luồng và kiểm tra mã nguồn hiện tại. Severity, Priority và Status có danh sách lựa chọn.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5" ht="30" customHeight="1">
      <x:c r="A5" s="24" t="str">
        <x:v>Bug ID</x:v>
      </x:c>
      <x:c r="B5" s="24" t="str">
        <x:v>Summary</x:v>
      </x:c>
      <x:c r="C5" s="24" t="str">
        <x:v>Related Test</x:v>
      </x:c>
      <x:c r="D5" s="24" t="str">
        <x:v>Preconditions</x:v>
      </x:c>
      <x:c r="E5" s="24" t="str">
        <x:v>Steps to Reproduce</x:v>
      </x:c>
      <x:c r="F5" s="24" t="str">
        <x:v>Actual Result</x:v>
      </x:c>
      <x:c r="G5" s="24" t="str">
        <x:v>Expected Result</x:v>
      </x:c>
      <x:c r="H5" s="24" t="str">
        <x:v>Severity</x:v>
      </x:c>
      <x:c r="I5" s="24" t="str">
        <x:v>Priority</x:v>
      </x:c>
      <x:c r="J5" s="24" t="str">
        <x:v>Status</x:v>
      </x:c>
      <x:c r="K5" s="24" t="str">
        <x:v>Evidence</x:v>
      </x:c>
    </x:row>
    <x:row r="6" ht="104" customHeight="1">
      <x:c r="A6" s="41" t="str">
        <x:v>BILL-001</x:v>
      </x:c>
      <x:c r="B6" s="28" t="str">
        <x:v>Cho phép số lượng dịch vụ âm làm giảm tổng hóa đơn</x:v>
      </x:c>
      <x:c r="C6" s="28" t="str">
        <x:v>TC-HD-05</x:v>
      </x:c>
      <x:c r="D6" s="28" t="str">
        <x:v>Hóa đơn chưa thanh toán; có dịch vụ hợp lệ</x:v>
      </x:c>
      <x:c r="E6" s="28" t="str">
        <x:v>1) Mở chi tiết hóa đơn.
2) Gửi addService với quantity=-2.
3) Tải lại hóa đơn.</x:v>
      </x:c>
      <x:c r="F6" s="28" t="str">
        <x:v>Server tạo chi tiết số lượng âm; thành tiền âm làm giảm tổng.</x:v>
      </x:c>
      <x:c r="G6" s="28" t="str">
        <x:v>Quantity phải &gt; 0; request bị từ chối và tổng không đổi.</x:v>
      </x:c>
      <x:c r="H6" s="28" t="str">
        <x:v>High</x:v>
      </x:c>
      <x:c r="I6" s="28" t="str">
        <x:v>P0</x:v>
      </x:c>
      <x:c r="J6" s="28" t="str">
        <x:v>New</x:v>
      </x:c>
      <x:c r="K6" s="28" t="str">
        <x:v>BillServlet.java:222-240</x:v>
      </x:c>
    </x:row>
    <x:row r="7" ht="104" customHeight="1">
      <x:c r="A7" s="41" t="str">
        <x:v>BILL-002</x:v>
      </x:c>
      <x:c r="B7" s="28" t="str">
        <x:v>Customer có thể thêm dịch vụ vào hóa đơn không thuộc sở hữu</x:v>
      </x:c>
      <x:c r="C7" s="28" t="str">
        <x:v>TC-HD-07</x:v>
      </x:c>
      <x:c r="D7" s="28" t="str">
        <x:v>Đăng nhập Customer; biết billId và serviceId</x:v>
      </x:c>
      <x:c r="E7" s="28" t="str">
        <x:v>1) Gửi POST /bills action=addService.
2) Dùng billId của khách khác.
3) Kiểm tra DB.</x:v>
      </x:c>
      <x:c r="F7" s="28" t="str">
        <x:v>Action xử lý mà không kiểm tra role, owner và trạng thái hóa đơn.</x:v>
      </x:c>
      <x:c r="G7" s="28" t="str">
        <x:v>Trả 403/redirect; không thay đổi dữ liệu.</x:v>
      </x:c>
      <x:c r="H7" s="28" t="str">
        <x:v>High</x:v>
      </x:c>
      <x:c r="I7" s="28" t="str">
        <x:v>P0</x:v>
      </x:c>
      <x:c r="J7" s="28" t="str">
        <x:v>New</x:v>
      </x:c>
      <x:c r="K7" s="28" t="str">
        <x:v>BillServlet.java:addService</x:v>
      </x:c>
    </x:row>
    <x:row r="8" ht="104" customHeight="1">
      <x:c r="A8" s="41" t="str">
        <x:v>BILL-003</x:v>
      </x:c>
      <x:c r="B8" s="28" t="str">
        <x:v>ID hóa đơn không tồn tại gây NullPointerException / HTTP 500</x:v>
      </x:c>
      <x:c r="C8" s="28" t="str">
        <x:v>TC-HD-08</x:v>
      </x:c>
      <x:c r="D8" s="28" t="str">
        <x:v>Đã đăng nhập</x:v>
      </x:c>
      <x:c r="E8" s="28" t="str">
        <x:v>1) Mở /bills?action=detail&amp;id=999999.
2) Quan sát log và phản hồi.</x:v>
      </x:c>
      <x:c r="F8" s="28" t="str">
        <x:v>Đối tượng bill null bị dùng trước khi kiểm tra tồn tại.</x:v>
      </x:c>
      <x:c r="G8" s="28" t="str">
        <x:v>Trả 404/redirect và thông báo thân thiện.</x:v>
      </x:c>
      <x:c r="H8" s="28" t="str">
        <x:v>High</x:v>
      </x:c>
      <x:c r="I8" s="28" t="str">
        <x:v>P1</x:v>
      </x:c>
      <x:c r="J8" s="28" t="str">
        <x:v>New</x:v>
      </x:c>
      <x:c r="K8" s="28" t="str">
        <x:v>BillServlet.java:detail</x:v>
      </x:c>
    </x:row>
  </x:sheetData>
  <x:mergeCells>
    <x:mergeCell ref="A1:K2"/>
    <x:mergeCell ref="A3:K3"/>
  </x:mergeCells>
  <x:conditionalFormatting sqref="H6:H8">
    <x:cfRule type="containsText" dxfId="10" priority="1" operator="containsText" text="Critical"/>
    <x:cfRule type="containsText" dxfId="11" priority="2" operator="containsText" text="High"/>
  </x:conditionalFormatting>
  <x:conditionalFormatting sqref="J6:J8">
    <x:cfRule type="containsText" dxfId="12" priority="3" operator="containsText" text="Closed"/>
    <x:cfRule type="containsText" dxfId="13" priority="4" operator="containsText" text="New"/>
  </x:conditionalFormatting>
  <x:dataValidations count="3">
    <x:dataValidation type="list" sqref="H6:H8">
      <x:formula1>"Critical,High,Medium,Low"</x:formula1>
    </x:dataValidation>
    <x:dataValidation type="list" sqref="I6:I8">
      <x:formula1>"P0,P1,P2,P3"</x:formula1>
    </x:dataValidation>
    <x:dataValidation type="list" sqref="J6:J8">
      <x:formula1>"New,Triaged,Assigned,In Progress,Fixed,Ready for Retest,Retest,Closed,Reopened"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a8377ea0734b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40" hidden="0" customWidth="1"/>
    <x:col min="5" max="5" width="15" hidden="0" customWidth="1"/>
    <x:col min="6" max="6" width="26" hidden="0" customWidth="1"/>
    <x:col min="7" max="7" width="37" hidden="0" customWidth="1"/>
  </x:cols>
  <x:sheetData>
    <x:row r="1" ht="30" customHeight="1">
      <x:c r="A1" s="4" t="str">
        <x:v>BÀI 4 — EXECUTION LOG | KẾT QUẢ THỰC THI</x:v>
      </x:c>
      <x:c r="B1" s="4" t="str">
        <x:v>BÀI 4 — EXECUTION LOG | KẾT QUẢ THỰC THI</x:v>
      </x:c>
      <x:c r="C1" s="4" t="str">
        <x:v>BÀI 4 — EXECUTION LOG | KẾT QUẢ THỰC THI</x:v>
      </x:c>
      <x:c r="D1" s="4" t="str">
        <x:v>BÀI 4 — EXECUTION LOG | KẾT QUẢ THỰC THI</x:v>
      </x:c>
      <x:c r="E1" s="4" t="str">
        <x:v>BÀI 4 — EXECUTION LOG | KẾT QUẢ THỰC THI</x:v>
      </x:c>
      <x:c r="F1" s="4" t="str">
        <x:v>BÀI 4 — EXECUTION LOG | KẾT QUẢ THỰC THI</x:v>
      </x:c>
      <x:c r="G1" s="4" t="str">
        <x:v>BÀI 4 — EXECUTION LOG | KẾT QUẢ THỰC THI</x:v>
      </x:c>
    </x:row>
    <x:row r="2" ht="30" customHeight="1">
      <x:c r="A2" s="4" t="str">
        <x:v>BÀI 4 — EXECUTION LOG | KẾT QUẢ THỰC THI</x:v>
      </x:c>
      <x:c r="B2" s="4" t="str">
        <x:v>BÀI 4 — EXECUTION LOG | KẾT QUẢ THỰC THI</x:v>
      </x:c>
      <x:c r="C2" s="4" t="str">
        <x:v>BÀI 4 — EXECUTION LOG | KẾT QUẢ THỰC THI</x:v>
      </x:c>
      <x:c r="D2" s="4" t="str">
        <x:v>BÀI 4 — EXECUTION LOG | KẾT QUẢ THỰC THI</x:v>
      </x:c>
      <x:c r="E2" s="4" t="str">
        <x:v>BÀI 4 — EXECUTION LOG | KẾT QUẢ THỰC THI</x:v>
      </x:c>
      <x:c r="F2" s="4" t="str">
        <x:v>BÀI 4 — EXECUTION LOG | KẾT QUẢ THỰC THI</x:v>
      </x:c>
      <x:c r="G2" s="4" t="str">
        <x:v>BÀI 4 — EXECUTION LOG | KẾT QUẢ THỰC THI</x:v>
      </x:c>
    </x:row>
    <x:row r="3">
      <x:c r="A3" s="38" t="str">
        <x:v>Kết quả gồm kiểm tra biên dịch kỹ thuật và mô phỏng 8 test case. Các số liệu tổng hợp liên kết trực tiếp sang sheet Test Cases.</x:v>
      </x:c>
      <x:c r="B3" s="38"/>
      <x:c r="C3" s="38"/>
      <x:c r="D3" s="38"/>
      <x:c r="E3" s="38"/>
      <x:c r="F3" s="38"/>
      <x:c r="G3" s="38"/>
    </x:row>
    <x:row r="5" ht="30" customHeight="1">
      <x:c r="A5" s="24" t="str">
        <x:v>Run ID</x:v>
      </x:c>
      <x:c r="B5" s="24" t="str">
        <x:v>Ngày chạy</x:v>
      </x:c>
      <x:c r="C5" s="24" t="str">
        <x:v>Loại kiểm tra</x:v>
      </x:c>
      <x:c r="D5" s="24" t="str">
        <x:v>Phạm vi</x:v>
      </x:c>
      <x:c r="E5" s="24" t="str">
        <x:v>Kết quả</x:v>
      </x:c>
      <x:c r="F5" s="24" t="str">
        <x:v>Bằng chứng</x:v>
      </x:c>
      <x:c r="G5" s="24" t="str">
        <x:v>Ghi chú</x:v>
      </x:c>
    </x:row>
    <x:row r="6">
      <x:c r="A6" s="28" t="str">
        <x:v>RUN-01</x:v>
      </x:c>
      <x:c r="B6" s="39" t="n">
        <x:v>46245</x:v>
      </x:c>
      <x:c r="C6" s="28" t="str">
        <x:v>Compile Java</x:v>
      </x:c>
      <x:c r="D6" s="28" t="str">
        <x:v>Toàn bộ src/main/java — release 11</x:v>
      </x:c>
      <x:c r="E6" s="28" t="str">
        <x:v>PASS</x:v>
      </x:c>
      <x:c r="F6" s="28" t="str">
        <x:v>javac: 0 error</x:v>
      </x:c>
      <x:c r="G6" s="28" t="str">
        <x:v>Xác nhận mã Java biên dịch.</x:v>
      </x:c>
    </x:row>
    <x:row r="7">
      <x:c r="A7" s="28" t="str">
        <x:v>RUN-02</x:v>
      </x:c>
      <x:c r="B7" s="39" t="n">
        <x:v>46245</x:v>
      </x:c>
      <x:c r="C7" s="28" t="str">
        <x:v>Compile JSP</x:v>
      </x:c>
      <x:c r="D7" s="28" t="str">
        <x:v>bill-details.jsp; admin/bills.jsp; my-bills.jsp</x:v>
      </x:c>
      <x:c r="E7" s="28" t="str">
        <x:v>PASS</x:v>
      </x:c>
      <x:c r="F7" s="28" t="str">
        <x:v>JspC: 0 error</x:v>
      </x:c>
      <x:c r="G7" s="28" t="str">
        <x:v>Xác nhận JSP hóa đơn mục tiêu.</x:v>
      </x:c>
    </x:row>
    <x:row r="8">
      <x:c r="A8" s="28" t="str">
        <x:v>RUN-03</x:v>
      </x:c>
      <x:c r="B8" s="39" t="n">
        <x:v>46245</x:v>
      </x:c>
      <x:c r="C8" s="28" t="str">
        <x:v>Functional simulation</x:v>
      </x:c>
      <x:c r="D8" s="28" t="str">
        <x:v>TC-HD-01 đến TC-HD-08</x:v>
      </x:c>
      <x:c r="E8" s="28" t="str">
        <x:f>IF(COUNTIF('Test Cases'!$J$6:$J$13,"FAIL")=0,"PASS","FAIL")</x:f>
        <x:v>FAIL</x:v>
      </x:c>
      <x:c r="F8" s="28" t="str">
        <x:v>Test Cases sheet</x:v>
      </x:c>
      <x:c r="G8" s="28" t="str">
        <x:v>5 PASS / 3 FAIL</x:v>
      </x:c>
    </x:row>
    <x:row r="9">
      <x:c r="A9" s="28" t="str">
        <x:v>RUN-04</x:v>
      </x:c>
      <x:c r="B9" s="39" t="n">
        <x:v>46245</x:v>
      </x:c>
      <x:c r="C9" s="28" t="str">
        <x:v>Static inspection</x:v>
      </x:c>
      <x:c r="D9" s="28" t="str">
        <x:v>BillServlet luồng detail/addService</x:v>
      </x:c>
      <x:c r="E9" s="28" t="str">
        <x:v>FAIL</x:v>
      </x:c>
      <x:c r="F9" s="28" t="str">
        <x:v>BILL-001..003</x:v>
      </x:c>
      <x:c r="G9" s="28" t="str">
        <x:v>Phát hiện 3 lỗi cần sửa.</x:v>
      </x:c>
    </x:row>
    <x:row r="10">
      <x:c r="A10" s="28" t="str">
        <x:v>RUN-05</x:v>
      </x:c>
      <x:c r="B10" s="39" t="n">
        <x:v>46245</x:v>
      </x:c>
      <x:c r="C10" s="28" t="str">
        <x:v>Exit Criteria</x:v>
      </x:c>
      <x:c r="D10" s="28" t="str">
        <x:v>Pass rate và defect mở</x:v>
      </x:c>
      <x:c r="E10" s="28" t="str">
        <x:f>Dashboard!$B$19</x:f>
        <x:v>CHƯA ĐẠT</x:v>
      </x:c>
      <x:c r="F10" s="28" t="str">
        <x:v>Dashboard</x:v>
      </x:c>
      <x:c r="G10" s="28" t="str">
        <x:v>Chưa đủ điều kiện kết thúc.</x:v>
      </x:c>
    </x:row>
    <x:row r="12" ht="22" customHeight="1">
      <x:c r="A12" s="11" t="str">
        <x:v>TỔNG HỢP TỰ ĐỘNG</x:v>
      </x:c>
      <x:c r="B12" s="11" t="str">
        <x:v>TỔNG HỢP TỰ ĐỘNG</x:v>
      </x:c>
      <x:c r="C12" s="11" t="str">
        <x:v>TỔNG HỢP TỰ ĐỘNG</x:v>
      </x:c>
      <x:c r="D12" s="11" t="str">
        <x:v>TỔNG HỢP TỰ ĐỘNG</x:v>
      </x:c>
      <x:c r="E12" s="11" t="str">
        <x:v>TỔNG HỢP TỰ ĐỘNG</x:v>
      </x:c>
      <x:c r="F12" s="11" t="str">
        <x:v>TỔNG HỢP TỰ ĐỘNG</x:v>
      </x:c>
      <x:c r="G12" s="11" t="str">
        <x:v>TỔNG HỢP TỰ ĐỘNG</x:v>
      </x:c>
    </x:row>
    <x:row r="13" ht="30" customHeight="1">
      <x:c r="A13" s="24" t="str">
        <x:v>Chỉ số</x:v>
      </x:c>
      <x:c r="B13" s="24" t="str">
        <x:v>Giá trị</x:v>
      </x:c>
      <x:c r="C13" s="24" t="str">
        <x:v>Nguồn</x:v>
      </x:c>
    </x:row>
    <x:row r="14">
      <x:c r="A14" s="28" t="str">
        <x:v>Total</x:v>
      </x:c>
      <x:c r="B14" s="28" t="n">
        <x:f>Dashboard!$B$14</x:f>
        <x:v>8</x:v>
      </x:c>
      <x:c r="C14" s="28" t="str">
        <x:v>Test Cases</x:v>
      </x:c>
    </x:row>
    <x:row r="15">
      <x:c r="A15" s="28" t="str">
        <x:v>PASS</x:v>
      </x:c>
      <x:c r="B15" s="28" t="n">
        <x:f>Dashboard!$B$15</x:f>
        <x:v>5</x:v>
      </x:c>
      <x:c r="C15" s="28" t="str">
        <x:v>Test Cases</x:v>
      </x:c>
    </x:row>
    <x:row r="16">
      <x:c r="A16" s="28" t="str">
        <x:v>FAIL</x:v>
      </x:c>
      <x:c r="B16" s="28" t="n">
        <x:f>Dashboard!$B$16</x:f>
        <x:v>3</x:v>
      </x:c>
      <x:c r="C16" s="28" t="str">
        <x:v>Test Cases</x:v>
      </x:c>
    </x:row>
    <x:row r="17">
      <x:c r="A17" s="28" t="str">
        <x:v>Pass Rate</x:v>
      </x:c>
      <x:c r="B17" s="29" t="n">
        <x:f>Dashboard!$B$17</x:f>
        <x:v>0.625</x:v>
      </x:c>
      <x:c r="C17" s="28" t="str">
        <x:v>Dashboard</x:v>
      </x:c>
    </x:row>
    <x:row r="18">
      <x:c r="A18" s="28" t="str">
        <x:v>Defects</x:v>
      </x:c>
      <x:c r="B18" s="28" t="n">
        <x:f>Dashboard!$B$18</x:f>
        <x:v>3</x:v>
      </x:c>
      <x:c r="C18" s="28" t="str">
        <x:v>Bug Report</x:v>
      </x:c>
    </x:row>
  </x:sheetData>
  <x:mergeCells>
    <x:mergeCell ref="A1:G2"/>
    <x:mergeCell ref="A3:G3"/>
    <x:mergeCell ref="A12:G12"/>
  </x:mergeCells>
  <x:conditionalFormatting sqref="E6:E10">
    <x:cfRule type="containsText" dxfId="14" priority="1" operator="containsText" text="PASS"/>
    <x:cfRule type="containsText" dxfId="15" priority="2" operator="containsText" text="FAIL"/>
    <x:cfRule type="containsText" dxfId="16" priority="3" operator="containsText" text="CHƯA ĐẠT"/>
  </x:conditionalFormatting>
  <x:pageMargins left="0.7" right="0.7" top="0.75" bottom="0.75" header="0.3" footer="0.3"/>
  <x:tableParts count="1">
    <x:tablePart xmlns:r="http://schemas.openxmlformats.org/officeDocument/2006/relationships" r:id="R5aef1578bb1240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9" hidden="0" customWidth="1"/>
    <x:col min="4" max="4" width="34" hidden="0" customWidth="1"/>
    <x:col min="5" max="5" width="42" hidden="0" customWidth="1"/>
    <x:col min="6" max="6" width="24" hidden="0" customWidth="1"/>
  </x:cols>
  <x:sheetData>
    <x:row r="1" ht="30" customHeight="1">
      <x:c r="A1" s="4" t="str">
        <x:v>DEFECT LIFECYCLE — VÒNG ĐỜI LỖI</x:v>
      </x:c>
      <x:c r="B1" s="4" t="str">
        <x:v>DEFECT LIFECYCLE — VÒNG ĐỜI LỖI</x:v>
      </x:c>
      <x:c r="C1" s="4" t="str">
        <x:v>DEFECT LIFECYCLE — VÒNG ĐỜI LỖI</x:v>
      </x:c>
      <x:c r="D1" s="4" t="str">
        <x:v>DEFECT LIFECYCLE — VÒNG ĐỜI LỖI</x:v>
      </x:c>
      <x:c r="E1" s="4" t="str">
        <x:v>DEFECT LIFECYCLE — VÒNG ĐỜI LỖI</x:v>
      </x:c>
      <x:c r="F1" s="4" t="str">
        <x:v>DEFECT LIFECYCLE — VÒNG ĐỜI LỖI</x:v>
      </x:c>
    </x:row>
    <x:row r="2" ht="30" customHeight="1">
      <x:c r="A2" s="4" t="str">
        <x:v>DEFECT LIFECYCLE — VÒNG ĐỜI LỖI</x:v>
      </x:c>
      <x:c r="B2" s="4" t="str">
        <x:v>DEFECT LIFECYCLE — VÒNG ĐỜI LỖI</x:v>
      </x:c>
      <x:c r="C2" s="4" t="str">
        <x:v>DEFECT LIFECYCLE — VÒNG ĐỜI LỖI</x:v>
      </x:c>
      <x:c r="D2" s="4" t="str">
        <x:v>DEFECT LIFECYCLE — VÒNG ĐỜI LỖI</x:v>
      </x:c>
      <x:c r="E2" s="4" t="str">
        <x:v>DEFECT LIFECYCLE — VÒNG ĐỜI LỖI</x:v>
      </x:c>
      <x:c r="F2" s="4" t="str">
        <x:v>DEFECT LIFECYCLE — VÒNG ĐỜI LỖI</x:v>
      </x:c>
    </x:row>
    <x:row r="3">
      <x:c r="A3" s="38" t="str">
        <x:v>Quy trình dùng để cập nhật cột Status trong Bug Report. Nếu retest thất bại, lỗi chuyển sang Reopened và quay lại Assigned.</x:v>
      </x:c>
      <x:c r="B3" s="38"/>
      <x:c r="C3" s="38"/>
      <x:c r="D3" s="38"/>
      <x:c r="E3" s="38"/>
      <x:c r="F3" s="38"/>
    </x:row>
    <x:row r="5" ht="30" customHeight="1">
      <x:c r="A5" s="24" t="str">
        <x:v>Bước</x:v>
      </x:c>
      <x:c r="B5" s="24" t="str">
        <x:v>Status</x:v>
      </x:c>
      <x:c r="C5" s="24" t="str">
        <x:v>Owner</x:v>
      </x:c>
      <x:c r="D5" s="24" t="str">
        <x:v>Điều kiện vào</x:v>
      </x:c>
      <x:c r="E5" s="24" t="str">
        <x:v>Đầu ra bắt buộc</x:v>
      </x:c>
      <x:c r="F5" s="24" t="str">
        <x:v>Trạng thái tiếp theo</x:v>
      </x:c>
    </x:row>
    <x:row r="6">
      <x:c r="A6" s="28" t="n">
        <x:v>1</x:v>
      </x:c>
      <x:c r="B6" s="28" t="str">
        <x:v>New</x:v>
      </x:c>
      <x:c r="C6" s="28" t="str">
        <x:v>Tester</x:v>
      </x:c>
      <x:c r="D6" s="28" t="str">
        <x:v>Lỗi vừa được ghi nhận</x:v>
      </x:c>
      <x:c r="E6" s="28" t="str">
        <x:v>Mô tả, steps, actual/expected, severity</x:v>
      </x:c>
      <x:c r="F6" s="28" t="str">
        <x:v>Triaged</x:v>
      </x:c>
    </x:row>
    <x:row r="7">
      <x:c r="A7" s="28" t="n">
        <x:v>2</x:v>
      </x:c>
      <x:c r="B7" s="28" t="str">
        <x:v>Triaged</x:v>
      </x:c>
      <x:c r="C7" s="28" t="str">
        <x:v>Leader / QA</x:v>
      </x:c>
      <x:c r="D7" s="28" t="str">
        <x:v>Defect hợp lệ</x:v>
      </x:c>
      <x:c r="E7" s="28" t="str">
        <x:v>Xác định severity, priority, scope</x:v>
      </x:c>
      <x:c r="F7" s="28" t="str">
        <x:v>Assigned / Closed</x:v>
      </x:c>
    </x:row>
    <x:row r="8">
      <x:c r="A8" s="28" t="n">
        <x:v>3</x:v>
      </x:c>
      <x:c r="B8" s="28" t="str">
        <x:v>Assigned</x:v>
      </x:c>
      <x:c r="C8" s="28" t="str">
        <x:v>Leader</x:v>
      </x:c>
      <x:c r="D8" s="28" t="str">
        <x:v>Đã xác định người xử lý</x:v>
      </x:c>
      <x:c r="E8" s="28" t="str">
        <x:v>Developer owner</x:v>
      </x:c>
      <x:c r="F8" s="28" t="str">
        <x:v>In Progress</x:v>
      </x:c>
    </x:row>
    <x:row r="9">
      <x:c r="A9" s="28" t="n">
        <x:v>4</x:v>
      </x:c>
      <x:c r="B9" s="28" t="str">
        <x:v>In Progress</x:v>
      </x:c>
      <x:c r="C9" s="28" t="str">
        <x:v>Developer</x:v>
      </x:c>
      <x:c r="D9" s="28" t="str">
        <x:v>Developer bắt đầu sửa</x:v>
      </x:c>
      <x:c r="E9" s="28" t="str">
        <x:v>Root cause và thay đổi mã</x:v>
      </x:c>
      <x:c r="F9" s="28" t="str">
        <x:v>Fixed</x:v>
      </x:c>
    </x:row>
    <x:row r="10">
      <x:c r="A10" s="28" t="n">
        <x:v>5</x:v>
      </x:c>
      <x:c r="B10" s="28" t="str">
        <x:v>Fixed</x:v>
      </x:c>
      <x:c r="C10" s="28" t="str">
        <x:v>Developer</x:v>
      </x:c>
      <x:c r="D10" s="28" t="str">
        <x:v>Đã sửa và self-test</x:v>
      </x:c>
      <x:c r="E10" s="28" t="str">
        <x:v>Commit/build có bản sửa</x:v>
      </x:c>
      <x:c r="F10" s="28" t="str">
        <x:v>Ready for Retest</x:v>
      </x:c>
    </x:row>
    <x:row r="11">
      <x:c r="A11" s="28" t="n">
        <x:v>6</x:v>
      </x:c>
      <x:c r="B11" s="28" t="str">
        <x:v>Ready for Retest</x:v>
      </x:c>
      <x:c r="C11" s="28" t="str">
        <x:v>Tester</x:v>
      </x:c>
      <x:c r="D11" s="28" t="str">
        <x:v>Build sửa lỗi đã sẵn sàng</x:v>
      </x:c>
      <x:c r="E11" s="28" t="str">
        <x:v>Test data và môi trường</x:v>
      </x:c>
      <x:c r="F11" s="28" t="str">
        <x:v>Retest</x:v>
      </x:c>
    </x:row>
    <x:row r="12">
      <x:c r="A12" s="28" t="n">
        <x:v>7</x:v>
      </x:c>
      <x:c r="B12" s="28" t="str">
        <x:v>Retest</x:v>
      </x:c>
      <x:c r="C12" s="28" t="str">
        <x:v>Tester</x:v>
      </x:c>
      <x:c r="D12" s="28" t="str">
        <x:v>Chạy lại test liên quan</x:v>
      </x:c>
      <x:c r="E12" s="28" t="str">
        <x:v>PASS hoặc FAIL có evidence</x:v>
      </x:c>
      <x:c r="F12" s="28" t="str">
        <x:v>Closed / Reopened</x:v>
      </x:c>
    </x:row>
    <x:row r="13">
      <x:c r="A13" s="28" t="n">
        <x:v>8</x:v>
      </x:c>
      <x:c r="B13" s="28" t="str">
        <x:v>Closed / Reopened</x:v>
      </x:c>
      <x:c r="C13" s="28" t="str">
        <x:v>Tester / Leader</x:v>
      </x:c>
      <x:c r="D13" s="28" t="str">
        <x:v>Retest hoàn tất</x:v>
      </x:c>
      <x:c r="E13" s="28" t="str">
        <x:v>Đóng nếu PASS; mở lại nếu FAIL</x:v>
      </x:c>
      <x:c r="F13" s="28" t="str">
        <x:v>End / Assigned</x:v>
      </x:c>
    </x:row>
  </x:sheetData>
  <x:mergeCells>
    <x:mergeCell ref="A1:F2"/>
    <x:mergeCell ref="A3:F3"/>
  </x:mergeCells>
  <x:conditionalFormatting sqref="B6:B13">
    <x:cfRule type="containsText" dxfId="17" priority="1" operator="containsText" text="Closed"/>
    <x:cfRule type="containsText" dxfId="18" priority="2" operator="containsText" text="Reopened"/>
  </x:conditionalFormatting>
  <x:pageMargins left="0.7" right="0.7" top="0.75" bottom="0.75" header="0.3" footer="0.3"/>
  <x:tableParts count="1">
    <x:tablePart xmlns:r="http://schemas.openxmlformats.org/officeDocument/2006/relationships" r:id="R798ca26e24004546"/>
  </x:tableParts>
</x:worksheet>
</file>